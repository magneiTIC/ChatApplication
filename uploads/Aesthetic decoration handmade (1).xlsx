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e business-plan" sheetId="1" r:id="rId4"/>
    <sheet state="visible" name="Immobilisations" sheetId="2" r:id="rId5"/>
    <sheet state="visible" name="amortis" sheetId="3" r:id="rId6"/>
    <sheet state="visible" name="Ressources Humaines" sheetId="4" r:id="rId7"/>
    <sheet state="visible" name="Charges dexploitation" sheetId="5" r:id="rId8"/>
    <sheet state="visible" name="Coût du prjet" sheetId="6" r:id="rId9"/>
    <sheet state="visible" name="Dotation en FR" sheetId="7" r:id="rId10"/>
    <sheet state="visible" name="plan de finan initi" sheetId="8" r:id="rId11"/>
    <sheet state="visible" name="emprunt" sheetId="9" r:id="rId12"/>
    <sheet state="visible" name="estimation CA prévisionnels" sheetId="10" r:id="rId13"/>
    <sheet state="visible" name="compte dexploit" sheetId="11" r:id="rId14"/>
    <sheet state="visible" name="Rentabilité 1" sheetId="12" r:id="rId15"/>
    <sheet state="visible" name="Rentabilité 2" sheetId="13" r:id="rId16"/>
    <sheet state="visible" name="plan de trésorerie" sheetId="14" r:id="rId17"/>
    <sheet state="visible" name="TERE" sheetId="15" r:id="rId18"/>
  </sheets>
  <externalReferences>
    <externalReference r:id="rId19"/>
  </externalReferences>
  <definedNames/>
  <calcPr/>
  <extLst>
    <ext uri="GoogleSheetsCustomDataVersion2">
      <go:sheetsCustomData xmlns:go="http://customooxmlschemas.google.com/" r:id="rId20" roundtripDataChecksum="/AhRUXgxjti6cEbRmUN6jlS8S87XtlSvhVnJRFTju+k="/>
    </ext>
  </extLst>
</workbook>
</file>

<file path=xl/sharedStrings.xml><?xml version="1.0" encoding="utf-8"?>
<sst xmlns="http://schemas.openxmlformats.org/spreadsheetml/2006/main" count="463" uniqueCount="397">
  <si>
    <t>LES TABLEAUX DE L'ETUDE TECHNIQUE &amp; FINANCIERE</t>
  </si>
  <si>
    <t xml:space="preserve">Raison Sociale : </t>
  </si>
  <si>
    <t>BUSINESS PLAN: ANNEE ACADEMIQUE</t>
  </si>
  <si>
    <t>PROMOTEURS QUI ONT TRAVAILLE</t>
  </si>
  <si>
    <t>ENSEIGNANT ENCADREUR:</t>
  </si>
  <si>
    <t>Prénoms</t>
  </si>
  <si>
    <t>Nom</t>
  </si>
  <si>
    <t>CLASSE:</t>
  </si>
  <si>
    <t>M. ou Mme ou Mlle</t>
  </si>
  <si>
    <t xml:space="preserve">Habibatou </t>
  </si>
  <si>
    <t>DRAME</t>
  </si>
  <si>
    <t>SI</t>
  </si>
  <si>
    <t xml:space="preserve">Arona </t>
  </si>
  <si>
    <t>FALL</t>
  </si>
  <si>
    <t>SR</t>
  </si>
  <si>
    <t>Awa</t>
  </si>
  <si>
    <t>NDIAYE</t>
  </si>
  <si>
    <t xml:space="preserve">Sokhna Magné </t>
  </si>
  <si>
    <t>MBOUP</t>
  </si>
  <si>
    <t xml:space="preserve">Moussa B </t>
  </si>
  <si>
    <t>DAFF</t>
  </si>
  <si>
    <t xml:space="preserve">Tamsir </t>
  </si>
  <si>
    <t>GUEYE</t>
  </si>
  <si>
    <t>PROMOTEURS QUI N'ONT PAS TRAVAILLE</t>
  </si>
  <si>
    <t>CHARGES IMMOBILISEES</t>
  </si>
  <si>
    <t>FRAIS D'ETABLISSEMENT</t>
  </si>
  <si>
    <t>Nature des frais</t>
  </si>
  <si>
    <t>Montant</t>
  </si>
  <si>
    <t>Droit d'enregistrement</t>
  </si>
  <si>
    <t>Honoraires du Notaire</t>
  </si>
  <si>
    <t>Dossier de d'exercer</t>
  </si>
  <si>
    <t>Timbres fiscaux</t>
  </si>
  <si>
    <t>Timbre NINEA</t>
  </si>
  <si>
    <t>Frais d'ouverture de compte</t>
  </si>
  <si>
    <t>Frais d'étude</t>
  </si>
  <si>
    <t>Frais d'immatriculation</t>
  </si>
  <si>
    <t>publication au journal officiel</t>
  </si>
  <si>
    <t>TOTAL</t>
  </si>
  <si>
    <t>IMMOBILISATIONS INCORPORELLES</t>
  </si>
  <si>
    <t>Frais de Recherche et Développement</t>
  </si>
  <si>
    <t>Brevet, Licence, Concession</t>
  </si>
  <si>
    <t>Logiciels</t>
  </si>
  <si>
    <t>Marque</t>
  </si>
  <si>
    <t>Fonds commercial</t>
  </si>
  <si>
    <t>Autres</t>
  </si>
  <si>
    <t>IMMOBILISATIONS CORPORELLES</t>
  </si>
  <si>
    <t>EQUIPEMENTS D'EXPLOITATION</t>
  </si>
  <si>
    <t>Nature des Equipements</t>
  </si>
  <si>
    <t>Quantité</t>
  </si>
  <si>
    <t>Prix unitaire</t>
  </si>
  <si>
    <t>boite de gants nitriles</t>
  </si>
  <si>
    <t>Masque de protection</t>
  </si>
  <si>
    <t xml:space="preserve">Balance electrique </t>
  </si>
  <si>
    <t>Fleurs séchées</t>
  </si>
  <si>
    <t>Ponpon</t>
  </si>
  <si>
    <t>Pack Autocollant</t>
  </si>
  <si>
    <t>Moule</t>
  </si>
  <si>
    <t xml:space="preserve">Pot de rangement </t>
  </si>
  <si>
    <t xml:space="preserve">Paillette </t>
  </si>
  <si>
    <t>Encre à alcool</t>
  </si>
  <si>
    <t>Paquet de Colorant</t>
  </si>
  <si>
    <t xml:space="preserve">Poudre de mica </t>
  </si>
  <si>
    <t>Feuille d'or</t>
  </si>
  <si>
    <t>MATERIELS ET MOBILIERS DE BUREAU</t>
  </si>
  <si>
    <t>Nature des équipements</t>
  </si>
  <si>
    <t>Cricut maker 3</t>
  </si>
  <si>
    <t>Table</t>
  </si>
  <si>
    <t>Ordinateur de bureau</t>
  </si>
  <si>
    <t xml:space="preserve">Imprimante </t>
  </si>
  <si>
    <t>Chaise</t>
  </si>
  <si>
    <t>Autres Matériels et Mobiliers de bureau</t>
  </si>
  <si>
    <t>INSTALLATIONS, TRAVAUX et AGENCEMENTS</t>
  </si>
  <si>
    <t>Eléments</t>
  </si>
  <si>
    <t>Quantités</t>
  </si>
  <si>
    <t>PU</t>
  </si>
  <si>
    <t>Electricité: installation de courant électrique</t>
  </si>
  <si>
    <t>Eau : travaux de plomberie</t>
  </si>
  <si>
    <t>Téléphone : travaux d'installation du téléphone</t>
  </si>
  <si>
    <t>Mise en réseau internet ou intranet</t>
  </si>
  <si>
    <t>Installation de comptoirs</t>
  </si>
  <si>
    <t>Divers</t>
  </si>
  <si>
    <t>IMMOBILISATIONS FINANCIERES</t>
  </si>
  <si>
    <t>DEPÔTS ET CAUTIONNEMENTS VERSES</t>
  </si>
  <si>
    <t>Caution de location</t>
  </si>
  <si>
    <t xml:space="preserve">Abonnements </t>
  </si>
  <si>
    <t xml:space="preserve">          Eau</t>
  </si>
  <si>
    <t xml:space="preserve">          Electricité</t>
  </si>
  <si>
    <t xml:space="preserve">          Téléphone </t>
  </si>
  <si>
    <t xml:space="preserve">          Connexion SENTOO</t>
  </si>
  <si>
    <t>Immobilisations</t>
  </si>
  <si>
    <t>DUP</t>
  </si>
  <si>
    <t>1ère année</t>
  </si>
  <si>
    <t>2ème année</t>
  </si>
  <si>
    <t>3ème année</t>
  </si>
  <si>
    <t>4ème année</t>
  </si>
  <si>
    <t>5ème</t>
  </si>
  <si>
    <t>Amortissement</t>
  </si>
  <si>
    <t>V C N</t>
  </si>
  <si>
    <t>Frais d'établissement</t>
  </si>
  <si>
    <t>Immobilisations incorporelles</t>
  </si>
  <si>
    <t>Installations, Travaux et Agencements</t>
  </si>
  <si>
    <t xml:space="preserve">Poste </t>
  </si>
  <si>
    <t xml:space="preserve">Nombre requis </t>
  </si>
  <si>
    <t>Profil ou niveau</t>
  </si>
  <si>
    <t>Salaire mensuel brut</t>
  </si>
  <si>
    <t>Total salaire mensuel brut</t>
  </si>
  <si>
    <t>Charges Sociales</t>
  </si>
  <si>
    <t>Assitant</t>
  </si>
  <si>
    <t>Community Manager</t>
  </si>
  <si>
    <t>Agent comptable</t>
  </si>
  <si>
    <t xml:space="preserve">Caissier </t>
  </si>
  <si>
    <t>Livreur</t>
  </si>
  <si>
    <t>Total masse salariale mensuelle</t>
  </si>
  <si>
    <t>Total masse salariale annuelle</t>
  </si>
  <si>
    <t xml:space="preserve">CHARGES SOCIALES </t>
  </si>
  <si>
    <t>Nature</t>
  </si>
  <si>
    <t>Barême</t>
  </si>
  <si>
    <t>CFCE</t>
  </si>
  <si>
    <t>IPRESS</t>
  </si>
  <si>
    <t>IPM</t>
  </si>
  <si>
    <t>CSS</t>
  </si>
  <si>
    <t xml:space="preserve">Total Charges </t>
  </si>
  <si>
    <t>Charges d'exploitation prévisionnelles</t>
  </si>
  <si>
    <t>Mensuelles</t>
  </si>
  <si>
    <t>Trimestrielles</t>
  </si>
  <si>
    <t>Semestrielles</t>
  </si>
  <si>
    <t>Annuelles</t>
  </si>
  <si>
    <t>Achats de marchandises</t>
  </si>
  <si>
    <t>Achats de matières premières et fournitures liées</t>
  </si>
  <si>
    <t>Achats de consommables</t>
  </si>
  <si>
    <t>Achats de combustibles</t>
  </si>
  <si>
    <t>Achats de produits d'entretien</t>
  </si>
  <si>
    <t>Achats de fournitures de bureau</t>
  </si>
  <si>
    <t>Eau (en terme de facture à payer)</t>
  </si>
  <si>
    <t>Electricité (en terme de facture à payer)</t>
  </si>
  <si>
    <t>Achats de petits matériels et outillages</t>
  </si>
  <si>
    <t>Etudes et prestations de service</t>
  </si>
  <si>
    <t>Achats d'emballages</t>
  </si>
  <si>
    <t>Frais de transport</t>
  </si>
  <si>
    <t>Sous-traitance</t>
  </si>
  <si>
    <t>Loyer</t>
  </si>
  <si>
    <t>Entretien, Réparations et Maintenance</t>
  </si>
  <si>
    <t>Primes d'assurance</t>
  </si>
  <si>
    <t>Publicité</t>
  </si>
  <si>
    <t>Téléphone (en terme de facture à payer)</t>
  </si>
  <si>
    <t>Internet (en terme de facture à payer)</t>
  </si>
  <si>
    <t>Commissions et frais assimilés</t>
  </si>
  <si>
    <t>Impôts (Patente et autres droits)</t>
  </si>
  <si>
    <t>Charges provisionnées d'exploitation</t>
  </si>
  <si>
    <t>Salaires bruts et autres rémunérations</t>
  </si>
  <si>
    <t>Charges sociales</t>
  </si>
  <si>
    <t>Frais financiers</t>
  </si>
  <si>
    <t>Autres charges d'exploitation</t>
  </si>
  <si>
    <t>Total</t>
  </si>
  <si>
    <t>COÛT DU PROJET</t>
  </si>
  <si>
    <t>Libellés</t>
  </si>
  <si>
    <t xml:space="preserve">Charges immobilisées </t>
  </si>
  <si>
    <t xml:space="preserve">      Frais d'établissement</t>
  </si>
  <si>
    <t xml:space="preserve">      Brevets</t>
  </si>
  <si>
    <t xml:space="preserve">      Logiciels</t>
  </si>
  <si>
    <t xml:space="preserve">      Marques</t>
  </si>
  <si>
    <t>Immobilisations corporelles</t>
  </si>
  <si>
    <t xml:space="preserve">      Equipements d'exploitation</t>
  </si>
  <si>
    <t xml:space="preserve">      Matériel et mobilier de bureau </t>
  </si>
  <si>
    <t xml:space="preserve">      Aménagements, travaux, installations,…</t>
  </si>
  <si>
    <t>Immobilisations financières</t>
  </si>
  <si>
    <t xml:space="preserve">      Dépôts et Cautionnements</t>
  </si>
  <si>
    <t xml:space="preserve"> Total Coût du projet</t>
  </si>
  <si>
    <t>DOTATION EN FONDS DE ROULEMENT</t>
  </si>
  <si>
    <t>Eléments du Besoin de Financement d'Exploitation</t>
  </si>
  <si>
    <t>Niveau d'activité</t>
  </si>
  <si>
    <t>Crédits Clients</t>
  </si>
  <si>
    <t>Dettes Fournisseurs</t>
  </si>
  <si>
    <t>Total Besoins</t>
  </si>
  <si>
    <t>Dotation trimestrielle ou semestrielle en Fonds de Roulement</t>
  </si>
  <si>
    <t xml:space="preserve">PLAN DE FINANCEMENT INITIAL </t>
  </si>
  <si>
    <t>1er jour</t>
  </si>
  <si>
    <t>BESOINS (durables)</t>
  </si>
  <si>
    <t>Eléments incorporels</t>
  </si>
  <si>
    <t>Equipements d'exploitation</t>
  </si>
  <si>
    <t>Matériels et Mobiliers de bureaux</t>
  </si>
  <si>
    <t>Aménagements, Travaux et Installations</t>
  </si>
  <si>
    <t>Dépôts et cautionnement</t>
  </si>
  <si>
    <t>TOTAL DES BESOINS</t>
  </si>
  <si>
    <t>RESSOURCES (durables)</t>
  </si>
  <si>
    <t>Fonds Propres</t>
  </si>
  <si>
    <t xml:space="preserve">      Capital Social (apports des promoteurs)</t>
  </si>
  <si>
    <t xml:space="preserve">      Comptes courants d'associés</t>
  </si>
  <si>
    <t xml:space="preserve">      Aides et subventions</t>
  </si>
  <si>
    <t>Capitaux empruntés (emprunts à moyen et long terme)</t>
  </si>
  <si>
    <t>TOTAL DES RESSOURCES</t>
  </si>
  <si>
    <t>ECART = Total Ressources - Total Besoins</t>
  </si>
  <si>
    <t>Conditions de l'emprunt : Banque</t>
  </si>
  <si>
    <t>Montant de l'emprunt</t>
  </si>
  <si>
    <t>Système de remboursement</t>
  </si>
  <si>
    <t>Remboursement constant</t>
  </si>
  <si>
    <t>annuel ou mensuel</t>
  </si>
  <si>
    <t>si remboursement annuel</t>
  </si>
  <si>
    <t xml:space="preserve">taux d'intérêt nominal annuel </t>
  </si>
  <si>
    <t>si remboursement mensuel</t>
  </si>
  <si>
    <t>taux d'intérêt nominal mensuel</t>
  </si>
  <si>
    <t>Taxe sur les Opérations Bancaires</t>
  </si>
  <si>
    <t>Périodes</t>
  </si>
  <si>
    <t>Dette debut de période</t>
  </si>
  <si>
    <t>Intérêt de la période</t>
  </si>
  <si>
    <t>TOB</t>
  </si>
  <si>
    <t>Amortissement de la période</t>
  </si>
  <si>
    <t>Annuité de la période</t>
  </si>
  <si>
    <t>Dette fin de période</t>
  </si>
  <si>
    <t>Somme</t>
  </si>
  <si>
    <t>Chiffre d'affaires prévisionnels sur 3 ans : Cas d'activités saisonnières</t>
  </si>
  <si>
    <t>Quantités prévue par mois</t>
  </si>
  <si>
    <t>Prix Unitaire</t>
  </si>
  <si>
    <t>Chiffre d'Affaires Mensuel</t>
  </si>
  <si>
    <t>Chiffre d'Affaires de la période</t>
  </si>
  <si>
    <t xml:space="preserve">En saison : </t>
  </si>
  <si>
    <t>Ventes de porte clé</t>
  </si>
  <si>
    <t>Ventes de jeux</t>
  </si>
  <si>
    <t>Ventes de plateaux</t>
  </si>
  <si>
    <t>Ventes de tableaux</t>
  </si>
  <si>
    <t>Autres ventes</t>
  </si>
  <si>
    <t xml:space="preserve">CA En saison </t>
  </si>
  <si>
    <t xml:space="preserve">Transition: </t>
  </si>
  <si>
    <t xml:space="preserve">CA Transition </t>
  </si>
  <si>
    <t xml:space="preserve">Hors saison: </t>
  </si>
  <si>
    <t>CA Hors saison</t>
  </si>
  <si>
    <t>C.A. hors taxe TOTAL DE LA 1ère ANNEE</t>
  </si>
  <si>
    <t>C.A. hors taxe TOTAL DE LA 2ème ANNEE</t>
  </si>
  <si>
    <t>C.A. hors taxe TOTAL DE LA 3ème ANNEE</t>
  </si>
  <si>
    <t>COMPTE DE RESULTATS PREVISIONNELS SUR 3 ANS (avec soldes intermédiaires de gestion)</t>
  </si>
  <si>
    <t>Libellé (en F.CFA)</t>
  </si>
  <si>
    <t>1ère Année</t>
  </si>
  <si>
    <t>2ème Année</t>
  </si>
  <si>
    <t>3ème Année</t>
  </si>
  <si>
    <t>Chiffre d'affaires hors taxe (SIG 1)</t>
  </si>
  <si>
    <t xml:space="preserve">                              4.0%</t>
  </si>
  <si>
    <t>Charges d'exploitation hors Frais Personnel &amp; Dotations  aux Amts et aux Prov</t>
  </si>
  <si>
    <t xml:space="preserve">    Achats de marchandises</t>
  </si>
  <si>
    <t xml:space="preserve">    Achats de matières premières et fournitures liées</t>
  </si>
  <si>
    <t xml:space="preserve">    Achats de consommables</t>
  </si>
  <si>
    <t xml:space="preserve">    Achats de combustibles</t>
  </si>
  <si>
    <t xml:space="preserve">    Achats de produits d'entretien</t>
  </si>
  <si>
    <t xml:space="preserve">    Achats de fournitures de bureau</t>
  </si>
  <si>
    <t xml:space="preserve">    Eau (en terme de facture à payer)</t>
  </si>
  <si>
    <t xml:space="preserve">    Electricité (en terme de facture à payer)</t>
  </si>
  <si>
    <t xml:space="preserve">    Achats de petits matériels et outillages</t>
  </si>
  <si>
    <t xml:space="preserve">    Etudes et prestations de service</t>
  </si>
  <si>
    <t xml:space="preserve">    Achats d'emballages</t>
  </si>
  <si>
    <t xml:space="preserve">    Frais de transport</t>
  </si>
  <si>
    <t xml:space="preserve">    Sous-traitance</t>
  </si>
  <si>
    <t xml:space="preserve">    Loyer</t>
  </si>
  <si>
    <t xml:space="preserve">    Entretien, Réparations et Maintenance</t>
  </si>
  <si>
    <t xml:space="preserve">    Primes d'assurance</t>
  </si>
  <si>
    <t xml:space="preserve">    Publicité</t>
  </si>
  <si>
    <t xml:space="preserve">    Téléphone (en terme de facture à payer)</t>
  </si>
  <si>
    <t xml:space="preserve">    Internet (en terme de facture à payer)</t>
  </si>
  <si>
    <t xml:space="preserve">    Commissions et frais assimilés</t>
  </si>
  <si>
    <t xml:space="preserve">    Impôts (Patente et autres droits)</t>
  </si>
  <si>
    <t xml:space="preserve">    Charges provisionnées d'exploitation</t>
  </si>
  <si>
    <t xml:space="preserve">    Autres charges d'exploitation</t>
  </si>
  <si>
    <t>Total charges d'expl Hors FP &amp; DAP (1)</t>
  </si>
  <si>
    <t>Valeur Ajoutée (SIG 2)</t>
  </si>
  <si>
    <t>Valeur Ajoutée / CA hors taxe*100</t>
  </si>
  <si>
    <t xml:space="preserve">     Charges de personnel</t>
  </si>
  <si>
    <t>Excédent brut d'exploitation (SIG 3)</t>
  </si>
  <si>
    <t>EBE/ CA hors taxe*100</t>
  </si>
  <si>
    <t xml:space="preserve">     Dotation aux amortissements et aux provisions</t>
  </si>
  <si>
    <t>Résultat d'exploitation (SIG 4)</t>
  </si>
  <si>
    <t>RE/CA hors taxe*100</t>
  </si>
  <si>
    <t>Activités Financières</t>
  </si>
  <si>
    <t xml:space="preserve">     Revenus financiers</t>
  </si>
  <si>
    <t xml:space="preserve">     Gains de change</t>
  </si>
  <si>
    <t>Total produits financiers</t>
  </si>
  <si>
    <t xml:space="preserve">     Frais financiers (intérêts bancaires)</t>
  </si>
  <si>
    <t xml:space="preserve">     Pertes de change</t>
  </si>
  <si>
    <t>Total charges financières</t>
  </si>
  <si>
    <t>Résultat financier (SIG 5)</t>
  </si>
  <si>
    <t>Résultat des activités ordinaires (SIG 6)</t>
  </si>
  <si>
    <t xml:space="preserve">     Impôts sur le résultat (25%)</t>
  </si>
  <si>
    <t>Résultat net (SIG 7)</t>
  </si>
  <si>
    <t xml:space="preserve">     Dividendes (20%)</t>
  </si>
  <si>
    <t>Résultat net non distribué (SIG 8)</t>
  </si>
  <si>
    <t>RENTABILITE DES CAPITAUX= RN/Capitaux propres (dans le plan de financement)</t>
  </si>
  <si>
    <t>Autofinancement Net (Solde Financier 1)</t>
  </si>
  <si>
    <t>ACTUALISATION  ((1+i)PUISSANCE(-n))</t>
  </si>
  <si>
    <t>Autofinancement Net Actualisé</t>
  </si>
  <si>
    <t xml:space="preserve"> Cumul des Autofinancements Nets</t>
  </si>
  <si>
    <t>VAN (i%)</t>
  </si>
  <si>
    <t>Les 12% sont à titre indicatif. Il faut travailler avec les vrais chiffres vérifiés auprès de vos banquiers. Les informations sur les actualisations se trouvent dans une table financière dans le tableau de l'actualisation à intérêts composés.</t>
  </si>
  <si>
    <t>CALCUL DU TAUX DE RENTABILITE INTERNE</t>
  </si>
  <si>
    <t>ACTUALISATION (i = X%) ou  (1+X%)PUISSANCE(-n)</t>
  </si>
  <si>
    <t>VAN (TRI)</t>
  </si>
  <si>
    <t>VAN (X%)</t>
  </si>
  <si>
    <t>TRI</t>
  </si>
  <si>
    <t>IP (12%)</t>
  </si>
  <si>
    <t>CALCUL DU SEUIL DE RENTABILITE</t>
  </si>
  <si>
    <t>CHIFFRE D'AFFAIRES</t>
  </si>
  <si>
    <t>CHARGES VARIABLES</t>
  </si>
  <si>
    <t>TOTAL CHARGES VARIABLES</t>
  </si>
  <si>
    <t>MARGE SUR COÛT VARIABLES</t>
  </si>
  <si>
    <t>CHARGES FIXES</t>
  </si>
  <si>
    <t>Allocations</t>
  </si>
  <si>
    <t>Internet</t>
  </si>
  <si>
    <t>Frais de formation en Web master</t>
  </si>
  <si>
    <t>Impôt (Patente)</t>
  </si>
  <si>
    <t>Assurance</t>
  </si>
  <si>
    <t>Frais de publicité</t>
  </si>
  <si>
    <t xml:space="preserve">                        -        </t>
  </si>
  <si>
    <t xml:space="preserve">                           -        </t>
  </si>
  <si>
    <t>TOTAL CHARGES FIXES</t>
  </si>
  <si>
    <t>RESULTAT D'EXPLOITATION</t>
  </si>
  <si>
    <t>SEUIL DE RENTABILITE</t>
  </si>
  <si>
    <t>POINT MORT</t>
  </si>
  <si>
    <t>1er mois</t>
  </si>
  <si>
    <t>2è mois</t>
  </si>
  <si>
    <t>3è mois</t>
  </si>
  <si>
    <t>4è mois</t>
  </si>
  <si>
    <t>5è mois</t>
  </si>
  <si>
    <t>6è mois</t>
  </si>
  <si>
    <t>7e mois</t>
  </si>
  <si>
    <t>8e mois</t>
  </si>
  <si>
    <t>9e mois</t>
  </si>
  <si>
    <t>10e mois</t>
  </si>
  <si>
    <t>11e mois</t>
  </si>
  <si>
    <t>12e mois</t>
  </si>
  <si>
    <t>1. SOLDE EN DEBUT DE MOIS</t>
  </si>
  <si>
    <t>2. ENCAISSEMENTS TTC</t>
  </si>
  <si>
    <t>2A. Récettes d'exploitation</t>
  </si>
  <si>
    <t xml:space="preserve">         Chiffre d'affaires encaissé</t>
  </si>
  <si>
    <t xml:space="preserve">        T V A Collectée sur les ventes (18%)</t>
  </si>
  <si>
    <t xml:space="preserve">         Chiffre d'affaires encaissé TTC</t>
  </si>
  <si>
    <t>2B. Récettes Hors exploitation</t>
  </si>
  <si>
    <t xml:space="preserve">        Apport en capital</t>
  </si>
  <si>
    <t xml:space="preserve">        Apports en comptes courants d'associés</t>
  </si>
  <si>
    <t xml:space="preserve">        Emprunts à moyen et long terme</t>
  </si>
  <si>
    <t xml:space="preserve">        ……….</t>
  </si>
  <si>
    <t>A. TOTAL ENCAISSEMENTS = 2A + 2B</t>
  </si>
  <si>
    <t>3. DECAISSEMENTS TTC</t>
  </si>
  <si>
    <t>3A. Dépenses d'exploitation TTC</t>
  </si>
  <si>
    <t xml:space="preserve">       Achats de marchandises</t>
  </si>
  <si>
    <t xml:space="preserve">       Achats de matières premières et fournitures liées</t>
  </si>
  <si>
    <t xml:space="preserve">        Achats de consommables</t>
  </si>
  <si>
    <t xml:space="preserve">       Achats de combustibles</t>
  </si>
  <si>
    <t xml:space="preserve">       Achats de produits d'entretien</t>
  </si>
  <si>
    <t xml:space="preserve">       Achats de fournitures de bureau</t>
  </si>
  <si>
    <t xml:space="preserve">       Eau (en terme de facture à payer)</t>
  </si>
  <si>
    <t xml:space="preserve">       Electricité (en terme de facture à payer)</t>
  </si>
  <si>
    <t xml:space="preserve">       Achats de petits matériels et outillages</t>
  </si>
  <si>
    <t xml:space="preserve">       Etudes et prestations de service</t>
  </si>
  <si>
    <t xml:space="preserve">       Achats d'emballages</t>
  </si>
  <si>
    <t xml:space="preserve">        Frais de transport</t>
  </si>
  <si>
    <t xml:space="preserve">       Sous-traitance</t>
  </si>
  <si>
    <t xml:space="preserve">        Loyer</t>
  </si>
  <si>
    <t xml:space="preserve">        Entretien, Réparations et Maintenance</t>
  </si>
  <si>
    <t xml:space="preserve">        Primes d'assurance</t>
  </si>
  <si>
    <t xml:space="preserve">        Publicité</t>
  </si>
  <si>
    <t xml:space="preserve">       Téléphone (en terme de facture à payer)</t>
  </si>
  <si>
    <t xml:space="preserve">        Internet (en terme de facture à payer)</t>
  </si>
  <si>
    <t xml:space="preserve">       Commissions et frais assimilés</t>
  </si>
  <si>
    <t xml:space="preserve">        Impôts (Patente et autres droits)</t>
  </si>
  <si>
    <t xml:space="preserve">       Charges provisionnées</t>
  </si>
  <si>
    <t xml:space="preserve">       Salaires bruts et autres rémunérations</t>
  </si>
  <si>
    <t xml:space="preserve">       Charges sociales</t>
  </si>
  <si>
    <t xml:space="preserve">       Frais financiers</t>
  </si>
  <si>
    <t xml:space="preserve">      Autres charges d'exploitation</t>
  </si>
  <si>
    <t xml:space="preserve">        TVA à verser</t>
  </si>
  <si>
    <t xml:space="preserve">       Versement d'IS</t>
  </si>
  <si>
    <t xml:space="preserve">        ……...</t>
  </si>
  <si>
    <t>3B. Dépenses Hors exploitation</t>
  </si>
  <si>
    <t xml:space="preserve">        Immobilisation (investissements)</t>
  </si>
  <si>
    <t xml:space="preserve">        Remboursement d'emprunts </t>
  </si>
  <si>
    <t>B. TOTAL DECAISSEMENTS = 3A + 3B</t>
  </si>
  <si>
    <t>4. SOLDE DU MOIS = A-B</t>
  </si>
  <si>
    <t>5. SOLDE DE FIN DE MOIS = 1 + 4</t>
  </si>
  <si>
    <t>TABLEAU D'EQUILIBRE RESSOURCES/EMPLOIS DE FONDS</t>
  </si>
  <si>
    <t>Rubriques</t>
  </si>
  <si>
    <t>Année 0</t>
  </si>
  <si>
    <t>Année 1</t>
  </si>
  <si>
    <t>Année 2</t>
  </si>
  <si>
    <t>Année 3</t>
  </si>
  <si>
    <t>Coefficient d'inflation</t>
  </si>
  <si>
    <t>Ressources</t>
  </si>
  <si>
    <t>Autofinancements nets</t>
  </si>
  <si>
    <t>Capitaux propres</t>
  </si>
  <si>
    <t>Capitaux empruntés</t>
  </si>
  <si>
    <t>Reprises FDR</t>
  </si>
  <si>
    <t>Valeurs résiduelles</t>
  </si>
  <si>
    <t>Sous Total Ressources</t>
  </si>
  <si>
    <t>Emplois</t>
  </si>
  <si>
    <t>Investissements et Renouvellements</t>
  </si>
  <si>
    <t>Remboursement principal</t>
  </si>
  <si>
    <t>Dotation en FDR</t>
  </si>
  <si>
    <t>Distribution Dividendes</t>
  </si>
  <si>
    <t>Sous Total Emplois</t>
  </si>
  <si>
    <t>Solde Annuel Ressources/Emplois</t>
  </si>
  <si>
    <t>Trésorerie Début d'année</t>
  </si>
  <si>
    <t>Trésorerie Fin d'année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</si>
</sst>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* #,##0\ _€_-;\-* #,##0\ _€_-;_-* &quot;-&quot;??\ _€_-;_-@"/>
    <numFmt numFmtId="165" formatCode="_-* #,##0.00\ _€_-;\-* #,##0.00\ _€_-;_-* &quot;-&quot;??\ _€_-;_-@"/>
    <numFmt numFmtId="166" formatCode="_-* #,##0\ _€_-;\-* #,##0\ _€_-;_-* \-??\ _€_-;_-@"/>
    <numFmt numFmtId="167" formatCode="0.0%"/>
    <numFmt numFmtId="168" formatCode="_-* #,##0.0000\ _€_-;\-* #,##0.0000\ _€_-;_-* &quot;-&quot;??\ _€_-;_-@"/>
    <numFmt numFmtId="169" formatCode="_-* #,##0.00\ _€_-;\-* #,##0.00\ _€_-;_-* \-??\ _€_-;_-@"/>
  </numFmts>
  <fonts count="32">
    <font>
      <sz val="10.0"/>
      <color rgb="FF000000"/>
      <name val="Arial"/>
      <scheme val="minor"/>
    </font>
    <font>
      <b/>
      <i/>
      <sz val="14.0"/>
      <color theme="1"/>
      <name val="Cambria"/>
    </font>
    <font/>
    <font>
      <b/>
      <u/>
      <sz val="10.0"/>
      <color theme="1"/>
      <name val="Arial"/>
    </font>
    <font>
      <b/>
      <u/>
      <sz val="12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b/>
      <u/>
      <sz val="12.0"/>
      <color theme="1"/>
      <name val="Times New Roman"/>
    </font>
    <font>
      <b/>
      <i/>
      <sz val="12.0"/>
      <color theme="1"/>
      <name val="Times New Roman"/>
    </font>
    <font>
      <b/>
      <sz val="10.0"/>
      <color theme="1"/>
      <name val="Arial"/>
    </font>
    <font>
      <sz val="10.0"/>
      <color theme="1"/>
      <name val="Arial"/>
    </font>
    <font>
      <sz val="14.0"/>
      <color theme="1"/>
      <name val="Times New Roman"/>
    </font>
    <font>
      <b/>
      <sz val="18.0"/>
      <color rgb="FF1F497D"/>
      <name val="Cambria"/>
    </font>
    <font>
      <b/>
      <sz val="15.0"/>
      <color rgb="FF1F497D"/>
      <name val="Calibri"/>
    </font>
    <font>
      <b/>
      <sz val="10.0"/>
      <color rgb="FF333399"/>
      <name val="Arial"/>
    </font>
    <font>
      <b/>
      <sz val="11.0"/>
      <color theme="0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b/>
      <sz val="14.0"/>
      <color theme="1"/>
      <name val="Arial"/>
    </font>
    <font>
      <b/>
      <sz val="13.0"/>
      <color rgb="FF1F497D"/>
      <name val="Calibri"/>
    </font>
    <font>
      <b/>
      <sz val="11.0"/>
      <color rgb="FF1F497D"/>
      <name val="Calibri"/>
    </font>
    <font>
      <b/>
      <i/>
      <u/>
      <sz val="10.0"/>
      <color theme="1"/>
      <name val="Arial"/>
    </font>
    <font>
      <i/>
      <sz val="10.0"/>
      <color theme="1"/>
      <name val="Arial"/>
    </font>
    <font>
      <b/>
      <i/>
      <sz val="10.0"/>
      <color theme="1"/>
      <name val="Arial"/>
    </font>
    <font>
      <b/>
      <sz val="14.0"/>
      <color rgb="FF1F497D"/>
      <name val="Cambria"/>
    </font>
    <font>
      <b/>
      <sz val="12.0"/>
      <color rgb="FF1F497D"/>
      <name val="Cambria"/>
    </font>
    <font>
      <sz val="12.0"/>
      <color theme="1"/>
      <name val="Cambria"/>
    </font>
    <font>
      <color theme="1"/>
      <name val="Arial"/>
      <scheme val="minor"/>
    </font>
    <font>
      <b/>
      <sz val="12.0"/>
      <color rgb="FFFA7D00"/>
      <name val="Calibri"/>
    </font>
    <font>
      <b/>
      <sz val="11.0"/>
      <color rgb="FFFA7D00"/>
      <name val="Calibri"/>
    </font>
    <font>
      <b/>
      <i/>
      <sz val="11.0"/>
      <color theme="0"/>
      <name val="Cambria"/>
    </font>
    <font>
      <b/>
      <i/>
      <sz val="12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969696"/>
        <bgColor rgb="FF969696"/>
      </patternFill>
    </fill>
    <fill>
      <patternFill patternType="solid">
        <fgColor rgb="FF92D050"/>
        <bgColor rgb="FF92D050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C2D69B"/>
        <bgColor rgb="FFC2D69B"/>
      </patternFill>
    </fill>
  </fills>
  <borders count="10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top/>
      <bottom style="thick">
        <color theme="4"/>
      </bottom>
    </border>
    <border>
      <right/>
      <top/>
      <bottom style="thick">
        <color theme="4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/>
      <bottom style="thick">
        <color theme="4"/>
      </bottom>
    </border>
    <border>
      <left style="medium">
        <color rgb="FF1F497D"/>
      </left>
      <right style="medium">
        <color rgb="FF1F497D"/>
      </right>
      <top style="medium">
        <color rgb="FF1F497D"/>
      </top>
    </border>
    <border>
      <left style="medium">
        <color rgb="FF1F497D"/>
      </left>
      <top style="medium">
        <color rgb="FF1F497D"/>
      </top>
      <bottom/>
    </border>
    <border>
      <right style="medium">
        <color rgb="FF1F497D"/>
      </right>
      <top style="medium">
        <color rgb="FF1F497D"/>
      </top>
      <bottom/>
    </border>
    <border>
      <left/>
      <top style="medium">
        <color rgb="FF1F497D"/>
      </top>
      <bottom/>
    </border>
    <border>
      <right/>
      <top style="medium">
        <color rgb="FF1F497D"/>
      </top>
      <bottom/>
    </border>
    <border>
      <left style="medium">
        <color rgb="FF1F497D"/>
      </left>
      <top style="medium">
        <color rgb="FF1F497D"/>
      </top>
      <bottom style="medium">
        <color rgb="FF1F497D"/>
      </bottom>
    </border>
    <border>
      <right style="medium">
        <color rgb="FF1F497D"/>
      </right>
      <top style="medium">
        <color rgb="FF1F497D"/>
      </top>
      <bottom style="medium">
        <color rgb="FF1F497D"/>
      </bottom>
    </border>
    <border>
      <left style="medium">
        <color rgb="FF1F497D"/>
      </left>
      <right style="medium">
        <color rgb="FF1F497D"/>
      </right>
      <bottom style="medium">
        <color rgb="FF1F497D"/>
      </bottom>
    </border>
    <border>
      <left style="medium">
        <color rgb="FF1F497D"/>
      </left>
      <right/>
      <top style="medium">
        <color rgb="FF1F497D"/>
      </top>
      <bottom style="medium">
        <color rgb="FF1F497D"/>
      </bottom>
    </border>
    <border>
      <left style="medium">
        <color rgb="FF1F497D"/>
      </left>
      <right style="medium">
        <color rgb="FF1F497D"/>
      </right>
      <top style="medium">
        <color rgb="FF1F497D"/>
      </top>
      <bottom style="medium">
        <color rgb="FF1F497D"/>
      </bottom>
    </border>
    <border>
      <left/>
      <right/>
      <top style="medium">
        <color rgb="FF1F497D"/>
      </top>
      <bottom style="medium">
        <color rgb="FF1F497D"/>
      </bottom>
    </border>
    <border>
      <left/>
      <right style="medium">
        <color rgb="FF1F497D"/>
      </right>
      <top style="medium">
        <color rgb="FF1F497D"/>
      </top>
      <bottom style="medium">
        <color rgb="FF1F497D"/>
      </bottom>
    </border>
    <border>
      <left style="double">
        <color rgb="FF3F3F3F"/>
      </left>
      <right style="double">
        <color rgb="FF3F3F3F"/>
      </right>
      <top/>
      <bottom style="double">
        <color rgb="FF3F3F3F"/>
      </bottom>
    </border>
    <border>
      <left/>
      <top/>
      <bottom style="thick">
        <color rgb="FFA6BFDD"/>
      </bottom>
    </border>
    <border>
      <right/>
      <top/>
      <bottom style="thick">
        <color rgb="FFA6BFDD"/>
      </bottom>
    </border>
    <border>
      <left style="double">
        <color rgb="FF3F3F3F"/>
      </left>
      <top style="double">
        <color rgb="FF3F3F3F"/>
      </top>
      <bottom style="double">
        <color rgb="FF3F3F3F"/>
      </bottom>
    </border>
    <border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rgb="FF333333"/>
      </left>
      <top style="double">
        <color rgb="FF333333"/>
      </top>
      <bottom style="double">
        <color rgb="FF333333"/>
      </bottom>
    </border>
    <border>
      <top style="double">
        <color rgb="FF333333"/>
      </top>
      <bottom style="double">
        <color rgb="FF333333"/>
      </bottom>
    </border>
    <border>
      <right style="double">
        <color rgb="FF333333"/>
      </right>
      <top style="double">
        <color rgb="FF333333"/>
      </top>
      <bottom style="double">
        <color rgb="FF333333"/>
      </bottom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/>
    </border>
    <border>
      <left style="medium">
        <color rgb="FF1F497D"/>
      </left>
      <right/>
      <top style="medium">
        <color rgb="FF1F497D"/>
      </top>
      <bottom style="double">
        <color rgb="FF1F497D"/>
      </bottom>
    </border>
    <border>
      <left/>
      <right style="medium">
        <color rgb="FF1F497D"/>
      </right>
      <top style="medium">
        <color rgb="FF1F497D"/>
      </top>
      <bottom style="double">
        <color rgb="FF1F497D"/>
      </bottom>
    </border>
    <border>
      <left style="double">
        <color rgb="FF3F3F3F"/>
      </left>
      <top/>
    </border>
    <border>
      <right style="double">
        <color rgb="FF3F3F3F"/>
      </right>
      <top/>
    </border>
    <border>
      <left style="double">
        <color rgb="FF3F3F3F"/>
      </left>
      <bottom style="double">
        <color rgb="FF3F3F3F"/>
      </bottom>
    </border>
    <border>
      <right style="double">
        <color rgb="FF3F3F3F"/>
      </right>
      <bottom style="double">
        <color rgb="FF3F3F3F"/>
      </bottom>
    </border>
    <border>
      <top style="double">
        <color rgb="FF3F3F3F"/>
      </top>
      <bottom style="double">
        <color rgb="FF3F3F3F"/>
      </bottom>
    </border>
    <border>
      <left style="medium">
        <color rgb="FF1F497D"/>
      </left>
      <top style="medium">
        <color rgb="FF1F497D"/>
      </top>
      <bottom style="double">
        <color rgb="FF3F3F3F"/>
      </bottom>
    </border>
    <border>
      <top style="medium">
        <color rgb="FF1F497D"/>
      </top>
      <bottom style="double">
        <color rgb="FF3F3F3F"/>
      </bottom>
    </border>
    <border>
      <right style="medium">
        <color rgb="FF1F497D"/>
      </right>
      <top style="medium">
        <color rgb="FF1F497D"/>
      </top>
      <bottom style="double">
        <color rgb="FF3F3F3F"/>
      </bottom>
    </border>
    <border>
      <left style="medium">
        <color rgb="FF1F497D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double">
        <color rgb="FF3F3F3F"/>
      </left>
      <right style="medium">
        <color rgb="FF1F497D"/>
      </right>
      <top style="double">
        <color rgb="FF3F3F3F"/>
      </top>
      <bottom style="double">
        <color rgb="FF3F3F3F"/>
      </bottom>
    </border>
    <border>
      <left style="medium">
        <color rgb="FF1F497D"/>
      </left>
      <right style="double">
        <color rgb="FF3F3F3F"/>
      </right>
      <top style="double">
        <color rgb="FF3F3F3F"/>
      </top>
      <bottom/>
    </border>
    <border>
      <left style="double">
        <color rgb="FF3F3F3F"/>
      </left>
      <right style="medium">
        <color rgb="FF1F497D"/>
      </right>
      <top style="double">
        <color rgb="FF3F3F3F"/>
      </top>
      <bottom/>
    </border>
    <border>
      <left style="medium">
        <color rgb="FF1F497D"/>
      </left>
      <right style="thin">
        <color rgb="FF7F7F7F"/>
      </right>
      <top style="medium">
        <color rgb="FF1F497D"/>
      </top>
    </border>
    <border>
      <left style="thin">
        <color rgb="FF7F7F7F"/>
      </left>
      <right style="thin">
        <color rgb="FF7F7F7F"/>
      </right>
      <top style="medium">
        <color rgb="FF1F497D"/>
      </top>
      <bottom style="thin">
        <color rgb="FF7F7F7F"/>
      </bottom>
    </border>
    <border>
      <left style="thin">
        <color rgb="FF7F7F7F"/>
      </left>
      <right style="medium">
        <color rgb="FF1F497D"/>
      </right>
      <top style="medium">
        <color rgb="FF1F497D"/>
      </top>
      <bottom style="thin">
        <color rgb="FF7F7F7F"/>
      </bottom>
    </border>
    <border>
      <left style="medium">
        <color rgb="FF1F497D"/>
      </left>
      <right style="thin">
        <color rgb="FF7F7F7F"/>
      </right>
      <bottom style="medium">
        <color rgb="FF1F497D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1F497D"/>
      </bottom>
    </border>
    <border>
      <left style="thin">
        <color rgb="FF7F7F7F"/>
      </left>
      <right style="medium">
        <color rgb="FF1F497D"/>
      </right>
      <top style="thin">
        <color rgb="FF7F7F7F"/>
      </top>
      <bottom style="medium">
        <color rgb="FF1F497D"/>
      </bottom>
    </border>
    <border>
      <left style="medium">
        <color rgb="FF1F497D"/>
      </left>
      <right style="double">
        <color rgb="FF3F3F3F"/>
      </right>
      <top/>
      <bottom style="double">
        <color rgb="FF3F3F3F"/>
      </bottom>
    </border>
    <border>
      <left style="double">
        <color rgb="FF3F3F3F"/>
      </left>
      <right style="medium">
        <color rgb="FF1F497D"/>
      </right>
      <top/>
      <bottom style="double">
        <color rgb="FF3F3F3F"/>
      </bottom>
    </border>
    <border>
      <left style="medium">
        <color rgb="FF1F497D"/>
      </left>
      <right/>
      <top style="thin">
        <color theme="4"/>
      </top>
      <bottom/>
    </border>
    <border>
      <left/>
      <right/>
      <top style="thin">
        <color theme="4"/>
      </top>
      <bottom/>
    </border>
    <border>
      <left/>
      <right style="medium">
        <color rgb="FF1F497D"/>
      </right>
      <top style="thin">
        <color theme="4"/>
      </top>
      <bottom/>
    </border>
    <border>
      <left style="medium">
        <color rgb="FF1F497D"/>
      </left>
      <right style="thin">
        <color rgb="FF7F7F7F"/>
      </right>
      <top style="medium">
        <color rgb="FF1F497D"/>
      </top>
      <bottom style="thin">
        <color rgb="FF7F7F7F"/>
      </bottom>
    </border>
    <border>
      <left style="medium">
        <color rgb="FF1F497D"/>
      </left>
      <right style="thin">
        <color rgb="FF7F7F7F"/>
      </right>
      <top style="thin">
        <color rgb="FF7F7F7F"/>
      </top>
      <bottom style="medium">
        <color rgb="FF1F497D"/>
      </bottom>
    </border>
    <border>
      <left style="medium">
        <color rgb="FF1F497D"/>
      </left>
      <right style="double">
        <color rgb="FF3F3F3F"/>
      </right>
      <top/>
      <bottom/>
    </border>
    <border>
      <left style="double">
        <color rgb="FF3F3F3F"/>
      </left>
      <right style="double">
        <color rgb="FF3F3F3F"/>
      </right>
      <top/>
      <bottom/>
    </border>
    <border>
      <left style="double">
        <color rgb="FF3F3F3F"/>
      </left>
      <right style="medium">
        <color rgb="FF1F497D"/>
      </right>
      <top/>
      <bottom/>
    </border>
    <border>
      <left style="medium">
        <color rgb="FF1F497D"/>
      </left>
      <right style="double">
        <color rgb="FF3F3F3F"/>
      </right>
      <top style="medium">
        <color rgb="FF1F497D"/>
      </top>
      <bottom style="double">
        <color rgb="FF3F3F3F"/>
      </bottom>
    </border>
    <border>
      <left style="double">
        <color rgb="FF3F3F3F"/>
      </left>
      <right style="double">
        <color rgb="FF3F3F3F"/>
      </right>
      <top style="medium">
        <color rgb="FF1F497D"/>
      </top>
      <bottom style="double">
        <color rgb="FF3F3F3F"/>
      </bottom>
    </border>
    <border>
      <left style="double">
        <color rgb="FF3F3F3F"/>
      </left>
      <right style="medium">
        <color rgb="FF1F497D"/>
      </right>
      <top style="medium">
        <color rgb="FF1F497D"/>
      </top>
      <bottom style="double">
        <color rgb="FF3F3F3F"/>
      </bottom>
    </border>
    <border>
      <left style="medium">
        <color rgb="FF1F497D"/>
      </left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left style="thin">
        <color rgb="FF7F7F7F"/>
      </left>
      <right style="medium">
        <color rgb="FF1F497D"/>
      </right>
      <top/>
      <bottom style="thin">
        <color rgb="FF7F7F7F"/>
      </bottom>
    </border>
    <border>
      <left style="medium">
        <color rgb="FF1F497D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medium">
        <color rgb="FF1F497D"/>
      </right>
      <top style="thin">
        <color rgb="FF7F7F7F"/>
      </top>
      <bottom style="thin">
        <color rgb="FF7F7F7F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7F7F7F"/>
      </left>
      <right style="thin">
        <color rgb="FF7F7F7F"/>
      </right>
      <top style="thin">
        <color rgb="FF7F7F7F"/>
      </top>
      <bottom/>
    </border>
    <border>
      <left style="double">
        <color rgb="FF3F3F3F"/>
      </left>
      <right style="double">
        <color rgb="FF3F3F3F"/>
      </right>
      <top style="double">
        <color rgb="FF3F3F3F"/>
      </top>
    </border>
    <border>
      <left style="double">
        <color rgb="FF3F3F3F"/>
      </left>
      <right style="double">
        <color rgb="FF3F3F3F"/>
      </right>
      <bottom style="double">
        <color rgb="FF3F3F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1" numFmtId="0" xfId="0" applyFont="1"/>
    <xf borderId="0" fillId="0" fontId="4" numFmtId="0" xfId="0" applyAlignment="1" applyFont="1">
      <alignment horizontal="left"/>
    </xf>
    <xf borderId="0" fillId="0" fontId="5" numFmtId="0" xfId="0" applyFont="1"/>
    <xf borderId="1" fillId="2" fontId="6" numFmtId="0" xfId="0" applyAlignment="1" applyBorder="1" applyFill="1" applyFont="1">
      <alignment horizontal="center"/>
    </xf>
    <xf borderId="0" fillId="0" fontId="7" numFmtId="0" xfId="0" applyFont="1"/>
    <xf borderId="0" fillId="0" fontId="8" numFmtId="0" xfId="0" applyFont="1"/>
    <xf borderId="4" fillId="0" fontId="8" numFmtId="0" xfId="0" applyBorder="1" applyFont="1"/>
    <xf borderId="5" fillId="0" fontId="8" numFmtId="0" xfId="0" applyBorder="1" applyFont="1"/>
    <xf borderId="4" fillId="0" fontId="6" numFmtId="0" xfId="0" applyBorder="1" applyFont="1"/>
    <xf borderId="0" fillId="0" fontId="9" numFmtId="0" xfId="0" applyFont="1"/>
    <xf borderId="6" fillId="0" fontId="10" numFmtId="0" xfId="0" applyBorder="1" applyFont="1"/>
    <xf borderId="7" fillId="0" fontId="10" numFmtId="0" xfId="0" applyBorder="1" applyFont="1"/>
    <xf borderId="6" fillId="0" fontId="5" numFmtId="0" xfId="0" applyBorder="1" applyFont="1"/>
    <xf borderId="8" fillId="0" fontId="8" numFmtId="0" xfId="0" applyBorder="1" applyFont="1"/>
    <xf borderId="9" fillId="0" fontId="10" numFmtId="0" xfId="0" applyBorder="1" applyFont="1"/>
    <xf borderId="8" fillId="0" fontId="10" numFmtId="0" xfId="0" applyBorder="1" applyFont="1"/>
    <xf borderId="10" fillId="0" fontId="8" numFmtId="0" xfId="0" applyBorder="1" applyFont="1"/>
    <xf borderId="11" fillId="0" fontId="10" numFmtId="0" xfId="0" applyBorder="1" applyFont="1"/>
    <xf borderId="10" fillId="0" fontId="10" numFmtId="0" xfId="0" applyBorder="1" applyFont="1"/>
    <xf borderId="6" fillId="0" fontId="8" numFmtId="0" xfId="0" applyBorder="1" applyFont="1"/>
    <xf borderId="0" fillId="0" fontId="11" numFmtId="0" xfId="0" applyFont="1"/>
    <xf borderId="12" fillId="0" fontId="10" numFmtId="0" xfId="0" applyBorder="1" applyFont="1"/>
    <xf borderId="13" fillId="0" fontId="10" numFmtId="0" xfId="0" applyBorder="1" applyFont="1"/>
    <xf borderId="14" fillId="0" fontId="10" numFmtId="0" xfId="0" applyBorder="1" applyFont="1"/>
    <xf borderId="15" fillId="0" fontId="12" numFmtId="0" xfId="0" applyAlignment="1" applyBorder="1" applyFont="1">
      <alignment horizontal="center"/>
    </xf>
    <xf borderId="16" fillId="0" fontId="2" numFmtId="0" xfId="0" applyBorder="1" applyFont="1"/>
    <xf borderId="17" fillId="0" fontId="10" numFmtId="0" xfId="0" applyBorder="1" applyFont="1"/>
    <xf borderId="5" fillId="0" fontId="10" numFmtId="0" xfId="0" applyBorder="1" applyFont="1"/>
    <xf borderId="18" fillId="0" fontId="10" numFmtId="0" xfId="0" applyBorder="1" applyFont="1"/>
    <xf borderId="19" fillId="0" fontId="10" numFmtId="0" xfId="0" applyBorder="1" applyFont="1"/>
    <xf borderId="20" fillId="0" fontId="10" numFmtId="0" xfId="0" applyBorder="1" applyFont="1"/>
    <xf borderId="21" fillId="3" fontId="13" numFmtId="0" xfId="0" applyAlignment="1" applyBorder="1" applyFill="1" applyFont="1">
      <alignment horizontal="center"/>
    </xf>
    <xf borderId="22" fillId="0" fontId="2" numFmtId="0" xfId="0" applyBorder="1" applyFont="1"/>
    <xf borderId="0" fillId="0" fontId="14" numFmtId="0" xfId="0" applyFont="1"/>
    <xf borderId="23" fillId="3" fontId="15" numFmtId="0" xfId="0" applyAlignment="1" applyBorder="1" applyFont="1">
      <alignment horizontal="left"/>
    </xf>
    <xf borderId="23" fillId="3" fontId="15" numFmtId="164" xfId="0" applyAlignment="1" applyBorder="1" applyFont="1" applyNumberFormat="1">
      <alignment horizontal="left"/>
    </xf>
    <xf borderId="23" fillId="3" fontId="16" numFmtId="164" xfId="0" applyAlignment="1" applyBorder="1" applyFont="1" applyNumberFormat="1">
      <alignment horizontal="left" readingOrder="0"/>
    </xf>
    <xf borderId="24" fillId="3" fontId="17" numFmtId="0" xfId="0" applyAlignment="1" applyBorder="1" applyFont="1">
      <alignment horizontal="left"/>
    </xf>
    <xf borderId="24" fillId="3" fontId="17" numFmtId="164" xfId="0" applyAlignment="1" applyBorder="1" applyFont="1" applyNumberFormat="1">
      <alignment horizontal="left"/>
    </xf>
    <xf borderId="25" fillId="0" fontId="10" numFmtId="0" xfId="0" applyBorder="1" applyFont="1"/>
    <xf borderId="26" fillId="0" fontId="10" numFmtId="0" xfId="0" applyBorder="1" applyFont="1"/>
    <xf borderId="27" fillId="0" fontId="10" numFmtId="0" xfId="0" applyBorder="1" applyFont="1"/>
    <xf borderId="1" fillId="0" fontId="12" numFmtId="0" xfId="0" applyAlignment="1" applyBorder="1" applyFont="1">
      <alignment horizontal="center"/>
    </xf>
    <xf borderId="28" fillId="0" fontId="10" numFmtId="0" xfId="0" applyBorder="1" applyFont="1"/>
    <xf borderId="29" fillId="0" fontId="10" numFmtId="0" xfId="0" applyBorder="1" applyFont="1"/>
    <xf borderId="30" fillId="0" fontId="10" numFmtId="0" xfId="0" applyBorder="1" applyFont="1"/>
    <xf borderId="31" fillId="0" fontId="10" numFmtId="0" xfId="0" applyBorder="1" applyFont="1"/>
    <xf borderId="32" fillId="0" fontId="10" numFmtId="0" xfId="0" applyBorder="1" applyFont="1"/>
    <xf borderId="33" fillId="0" fontId="10" numFmtId="0" xfId="0" applyBorder="1" applyFont="1"/>
    <xf borderId="34" fillId="0" fontId="10" numFmtId="0" xfId="0" applyBorder="1" applyFont="1"/>
    <xf borderId="30" fillId="0" fontId="18" numFmtId="0" xfId="0" applyAlignment="1" applyBorder="1" applyFont="1">
      <alignment horizontal="center"/>
    </xf>
    <xf borderId="0" fillId="0" fontId="18" numFmtId="0" xfId="0" applyAlignment="1" applyFont="1">
      <alignment horizontal="center"/>
    </xf>
    <xf borderId="31" fillId="0" fontId="18" numFmtId="0" xfId="0" applyAlignment="1" applyBorder="1" applyFont="1">
      <alignment horizontal="center"/>
    </xf>
    <xf borderId="35" fillId="0" fontId="2" numFmtId="0" xfId="0" applyBorder="1" applyFont="1"/>
    <xf borderId="23" fillId="3" fontId="15" numFmtId="0" xfId="0" applyBorder="1" applyFont="1"/>
    <xf borderId="23" fillId="3" fontId="15" numFmtId="164" xfId="0" applyBorder="1" applyFont="1" applyNumberFormat="1"/>
    <xf borderId="24" fillId="3" fontId="17" numFmtId="0" xfId="0" applyBorder="1" applyFont="1"/>
    <xf borderId="24" fillId="3" fontId="17" numFmtId="164" xfId="0" applyBorder="1" applyFont="1" applyNumberFormat="1"/>
    <xf borderId="0" fillId="0" fontId="6" numFmtId="0" xfId="0" applyFont="1"/>
    <xf borderId="5" fillId="0" fontId="6" numFmtId="0" xfId="0" applyBorder="1" applyFont="1"/>
    <xf borderId="23" fillId="3" fontId="15" numFmtId="0" xfId="0" applyAlignment="1" applyBorder="1" applyFont="1">
      <alignment horizontal="center"/>
    </xf>
    <xf borderId="36" fillId="3" fontId="19" numFmtId="0" xfId="0" applyAlignment="1" applyBorder="1" applyFont="1">
      <alignment horizontal="center"/>
    </xf>
    <xf borderId="37" fillId="3" fontId="19" numFmtId="0" xfId="0" applyAlignment="1" applyBorder="1" applyFont="1">
      <alignment horizontal="center"/>
    </xf>
    <xf borderId="38" fillId="0" fontId="2" numFmtId="0" xfId="0" applyBorder="1" applyFont="1"/>
    <xf borderId="39" fillId="3" fontId="19" numFmtId="0" xfId="0" applyAlignment="1" applyBorder="1" applyFont="1">
      <alignment horizontal="center"/>
    </xf>
    <xf borderId="40" fillId="0" fontId="2" numFmtId="0" xfId="0" applyBorder="1" applyFont="1"/>
    <xf borderId="41" fillId="3" fontId="19" numFmtId="0" xfId="0" applyAlignment="1" applyBorder="1" applyFont="1">
      <alignment horizontal="center"/>
    </xf>
    <xf borderId="42" fillId="0" fontId="2" numFmtId="0" xfId="0" applyBorder="1" applyFont="1"/>
    <xf borderId="43" fillId="0" fontId="2" numFmtId="0" xfId="0" applyBorder="1" applyFont="1"/>
    <xf borderId="44" fillId="3" fontId="19" numFmtId="0" xfId="0" applyBorder="1" applyFont="1"/>
    <xf borderId="45" fillId="3" fontId="19" numFmtId="0" xfId="0" applyBorder="1" applyFont="1"/>
    <xf borderId="46" fillId="3" fontId="19" numFmtId="0" xfId="0" applyBorder="1" applyFont="1"/>
    <xf borderId="47" fillId="3" fontId="19" numFmtId="0" xfId="0" applyBorder="1" applyFont="1"/>
    <xf borderId="48" fillId="3" fontId="15" numFmtId="0" xfId="0" applyBorder="1" applyFont="1"/>
    <xf borderId="48" fillId="3" fontId="15" numFmtId="164" xfId="0" applyBorder="1" applyFont="1" applyNumberFormat="1"/>
    <xf borderId="0" fillId="0" fontId="10" numFmtId="164" xfId="0" applyFont="1" applyNumberFormat="1"/>
    <xf borderId="23" fillId="3" fontId="20" numFmtId="0" xfId="0" applyBorder="1" applyFont="1"/>
    <xf borderId="23" fillId="3" fontId="15" numFmtId="3" xfId="0" applyBorder="1" applyFont="1" applyNumberFormat="1"/>
    <xf borderId="23" fillId="3" fontId="16" numFmtId="3" xfId="0" applyAlignment="1" applyBorder="1" applyFont="1" applyNumberFormat="1">
      <alignment readingOrder="0"/>
    </xf>
    <xf borderId="49" fillId="3" fontId="19" numFmtId="0" xfId="0" applyAlignment="1" applyBorder="1" applyFont="1">
      <alignment horizontal="center"/>
    </xf>
    <xf borderId="50" fillId="0" fontId="2" numFmtId="0" xfId="0" applyBorder="1" applyFont="1"/>
    <xf borderId="0" fillId="0" fontId="21" numFmtId="0" xfId="0" applyFont="1"/>
    <xf borderId="0" fillId="0" fontId="22" numFmtId="165" xfId="0" applyFont="1" applyNumberFormat="1"/>
    <xf borderId="0" fillId="0" fontId="23" numFmtId="0" xfId="0" applyFont="1"/>
    <xf borderId="0" fillId="0" fontId="23" numFmtId="164" xfId="0" applyFont="1" applyNumberFormat="1"/>
    <xf borderId="23" fillId="3" fontId="15" numFmtId="9" xfId="0" applyBorder="1" applyFont="1" applyNumberFormat="1"/>
    <xf borderId="0" fillId="0" fontId="10" numFmtId="165" xfId="0" applyFont="1" applyNumberFormat="1"/>
    <xf borderId="0" fillId="0" fontId="10" numFmtId="0" xfId="0" applyFont="1"/>
    <xf borderId="23" fillId="3" fontId="15" numFmtId="10" xfId="0" applyBorder="1" applyFont="1" applyNumberFormat="1"/>
    <xf borderId="0" fillId="0" fontId="23" numFmtId="165" xfId="0" applyFont="1" applyNumberFormat="1"/>
    <xf borderId="0" fillId="0" fontId="10" numFmtId="164" xfId="0" applyAlignment="1" applyFont="1" applyNumberFormat="1">
      <alignment horizontal="right"/>
    </xf>
    <xf borderId="23" fillId="3" fontId="20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23" fillId="3" fontId="15" numFmtId="3" xfId="0" applyAlignment="1" applyBorder="1" applyFont="1" applyNumberFormat="1">
      <alignment horizontal="center"/>
    </xf>
    <xf borderId="23" fillId="3" fontId="15" numFmtId="164" xfId="0" applyAlignment="1" applyBorder="1" applyFont="1" applyNumberFormat="1">
      <alignment horizontal="center"/>
    </xf>
    <xf borderId="24" fillId="3" fontId="17" numFmtId="164" xfId="0" applyAlignment="1" applyBorder="1" applyFont="1" applyNumberFormat="1">
      <alignment horizontal="center"/>
    </xf>
    <xf borderId="51" fillId="3" fontId="24" numFmtId="0" xfId="0" applyAlignment="1" applyBorder="1" applyFont="1">
      <alignment horizontal="center"/>
    </xf>
    <xf borderId="52" fillId="0" fontId="2" numFmtId="0" xfId="0" applyBorder="1" applyFont="1"/>
    <xf borderId="23" fillId="3" fontId="25" numFmtId="0" xfId="0" applyBorder="1" applyFont="1"/>
    <xf borderId="23" fillId="3" fontId="12" numFmtId="0" xfId="0" applyBorder="1" applyFont="1"/>
    <xf borderId="23" fillId="3" fontId="20" numFmtId="164" xfId="0" applyAlignment="1" applyBorder="1" applyFont="1" applyNumberFormat="1">
      <alignment horizontal="center"/>
    </xf>
    <xf borderId="23" fillId="3" fontId="15" numFmtId="164" xfId="0" applyAlignment="1" applyBorder="1" applyFont="1" applyNumberFormat="1">
      <alignment horizontal="right"/>
    </xf>
    <xf borderId="23" fillId="3" fontId="20" numFmtId="164" xfId="0" applyBorder="1" applyFont="1" applyNumberFormat="1"/>
    <xf borderId="23" fillId="3" fontId="16" numFmtId="164" xfId="0" applyAlignment="1" applyBorder="1" applyFont="1" applyNumberFormat="1">
      <alignment horizontal="right" readingOrder="0"/>
    </xf>
    <xf borderId="23" fillId="3" fontId="20" numFmtId="164" xfId="0" applyAlignment="1" applyBorder="1" applyFont="1" applyNumberFormat="1">
      <alignment horizontal="right"/>
    </xf>
    <xf borderId="24" fillId="3" fontId="17" numFmtId="164" xfId="0" applyAlignment="1" applyBorder="1" applyFont="1" applyNumberFormat="1">
      <alignment horizontal="right"/>
    </xf>
    <xf borderId="53" fillId="3" fontId="16" numFmtId="0" xfId="0" applyAlignment="1" applyBorder="1" applyFont="1">
      <alignment horizontal="center"/>
    </xf>
    <xf borderId="54" fillId="0" fontId="2" numFmtId="0" xfId="0" applyBorder="1" applyFont="1"/>
    <xf borderId="55" fillId="0" fontId="2" numFmtId="0" xfId="0" applyBorder="1" applyFont="1"/>
    <xf borderId="56" fillId="3" fontId="16" numFmtId="3" xfId="0" applyBorder="1" applyFont="1" applyNumberFormat="1"/>
    <xf borderId="56" fillId="3" fontId="16" numFmtId="0" xfId="0" applyBorder="1" applyFont="1"/>
    <xf borderId="56" fillId="3" fontId="16" numFmtId="9" xfId="0" applyAlignment="1" applyBorder="1" applyFont="1" applyNumberFormat="1">
      <alignment readingOrder="0"/>
    </xf>
    <xf borderId="56" fillId="3" fontId="16" numFmtId="9" xfId="0" applyBorder="1" applyFont="1" applyNumberFormat="1"/>
    <xf borderId="56" fillId="4" fontId="16" numFmtId="166" xfId="0" applyBorder="1" applyFill="1" applyFont="1" applyNumberFormat="1"/>
    <xf borderId="56" fillId="3" fontId="16" numFmtId="166" xfId="0" applyBorder="1" applyFont="1" applyNumberFormat="1"/>
    <xf borderId="56" fillId="3" fontId="16" numFmtId="164" xfId="0" applyBorder="1" applyFont="1" applyNumberFormat="1"/>
    <xf borderId="56" fillId="3" fontId="16" numFmtId="0" xfId="0" applyAlignment="1" applyBorder="1" applyFont="1">
      <alignment readingOrder="0"/>
    </xf>
    <xf borderId="56" fillId="3" fontId="16" numFmtId="166" xfId="0" applyAlignment="1" applyBorder="1" applyFont="1" applyNumberFormat="1">
      <alignment readingOrder="0"/>
    </xf>
    <xf borderId="1" fillId="5" fontId="24" numFmtId="0" xfId="0" applyAlignment="1" applyBorder="1" applyFill="1" applyFont="1">
      <alignment horizontal="center"/>
    </xf>
    <xf borderId="0" fillId="0" fontId="26" numFmtId="0" xfId="0" applyFont="1"/>
    <xf borderId="57" fillId="3" fontId="15" numFmtId="0" xfId="0" applyBorder="1" applyFont="1"/>
    <xf borderId="57" fillId="3" fontId="15" numFmtId="164" xfId="0" applyBorder="1" applyFont="1" applyNumberFormat="1"/>
    <xf borderId="58" fillId="3" fontId="17" numFmtId="0" xfId="0" applyBorder="1" applyFont="1"/>
    <xf borderId="59" fillId="3" fontId="17" numFmtId="164" xfId="0" applyAlignment="1" applyBorder="1" applyFont="1" applyNumberFormat="1">
      <alignment horizontal="right"/>
    </xf>
    <xf borderId="60" fillId="3" fontId="15" numFmtId="0" xfId="0" applyAlignment="1" applyBorder="1" applyFont="1">
      <alignment horizontal="center"/>
    </xf>
    <xf borderId="61" fillId="0" fontId="2" numFmtId="0" xfId="0" applyBorder="1" applyFont="1"/>
    <xf borderId="62" fillId="0" fontId="2" numFmtId="0" xfId="0" applyBorder="1" applyFont="1"/>
    <xf borderId="63" fillId="0" fontId="2" numFmtId="0" xfId="0" applyBorder="1" applyFont="1"/>
    <xf borderId="23" fillId="3" fontId="25" numFmtId="164" xfId="0" applyBorder="1" applyFont="1" applyNumberFormat="1"/>
    <xf borderId="23" fillId="3" fontId="16" numFmtId="164" xfId="0" applyAlignment="1" applyBorder="1" applyFont="1" applyNumberFormat="1">
      <alignment readingOrder="0"/>
    </xf>
    <xf borderId="0" fillId="0" fontId="1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0" numFmtId="9" xfId="0" applyAlignment="1" applyFont="1" applyNumberFormat="1">
      <alignment readingOrder="0"/>
    </xf>
    <xf borderId="0" fillId="0" fontId="27" numFmtId="0" xfId="0" applyFont="1"/>
    <xf borderId="23" fillId="3" fontId="16" numFmtId="0" xfId="0" applyAlignment="1" applyBorder="1" applyFont="1">
      <alignment readingOrder="0"/>
    </xf>
    <xf borderId="51" fillId="3" fontId="12" numFmtId="0" xfId="0" applyAlignment="1" applyBorder="1" applyFont="1">
      <alignment horizontal="center"/>
    </xf>
    <xf borderId="64" fillId="0" fontId="2" numFmtId="0" xfId="0" applyBorder="1" applyFont="1"/>
    <xf borderId="65" fillId="3" fontId="24" numFmtId="0" xfId="0" applyAlignment="1" applyBorder="1" applyFont="1">
      <alignment horizontal="center"/>
    </xf>
    <xf borderId="66" fillId="0" fontId="2" numFmtId="0" xfId="0" applyBorder="1" applyFont="1"/>
    <xf borderId="67" fillId="0" fontId="2" numFmtId="0" xfId="0" applyBorder="1" applyFont="1"/>
    <xf borderId="68" fillId="3" fontId="15" numFmtId="0" xfId="0" applyBorder="1" applyFont="1"/>
    <xf borderId="69" fillId="3" fontId="15" numFmtId="0" xfId="0" applyBorder="1" applyFont="1"/>
    <xf borderId="70" fillId="3" fontId="20" numFmtId="0" xfId="0" applyBorder="1" applyFont="1"/>
    <xf borderId="57" fillId="3" fontId="20" numFmtId="0" xfId="0" applyBorder="1" applyFont="1"/>
    <xf borderId="71" fillId="3" fontId="20" numFmtId="0" xfId="0" applyBorder="1" applyFont="1"/>
    <xf borderId="72" fillId="6" fontId="28" numFmtId="0" xfId="0" applyAlignment="1" applyBorder="1" applyFill="1" applyFont="1">
      <alignment horizontal="center" vertical="center"/>
    </xf>
    <xf borderId="73" fillId="6" fontId="29" numFmtId="3" xfId="0" applyBorder="1" applyFont="1" applyNumberFormat="1"/>
    <xf borderId="74" fillId="6" fontId="29" numFmtId="3" xfId="0" applyBorder="1" applyFont="1" applyNumberFormat="1"/>
    <xf borderId="75" fillId="0" fontId="2" numFmtId="0" xfId="0" applyBorder="1" applyFont="1"/>
    <xf borderId="76" fillId="6" fontId="29" numFmtId="0" xfId="0" applyAlignment="1" applyBorder="1" applyFont="1">
      <alignment readingOrder="0"/>
    </xf>
    <xf borderId="76" fillId="6" fontId="29" numFmtId="167" xfId="0" applyBorder="1" applyFont="1" applyNumberFormat="1"/>
    <xf borderId="77" fillId="6" fontId="29" numFmtId="167" xfId="0" applyBorder="1" applyFont="1" applyNumberFormat="1"/>
    <xf borderId="78" fillId="3" fontId="20" numFmtId="0" xfId="0" applyBorder="1" applyFont="1"/>
    <xf borderId="48" fillId="3" fontId="15" numFmtId="3" xfId="0" applyBorder="1" applyFont="1" applyNumberFormat="1"/>
    <xf borderId="79" fillId="3" fontId="15" numFmtId="3" xfId="0" applyBorder="1" applyFont="1" applyNumberFormat="1"/>
    <xf borderId="68" fillId="3" fontId="30" numFmtId="0" xfId="0" applyBorder="1" applyFont="1"/>
    <xf borderId="69" fillId="3" fontId="15" numFmtId="3" xfId="0" applyBorder="1" applyFont="1" applyNumberFormat="1"/>
    <xf borderId="80" fillId="3" fontId="17" numFmtId="0" xfId="0" applyBorder="1" applyFont="1"/>
    <xf borderId="81" fillId="3" fontId="17" numFmtId="3" xfId="0" applyBorder="1" applyFont="1" applyNumberFormat="1"/>
    <xf borderId="82" fillId="3" fontId="17" numFmtId="3" xfId="0" applyBorder="1" applyFont="1" applyNumberFormat="1"/>
    <xf borderId="83" fillId="6" fontId="29" numFmtId="0" xfId="0" applyAlignment="1" applyBorder="1" applyFont="1">
      <alignment horizontal="right"/>
    </xf>
    <xf borderId="84" fillId="6" fontId="29" numFmtId="0" xfId="0" applyBorder="1" applyFont="1"/>
    <xf borderId="85" fillId="3" fontId="30" numFmtId="0" xfId="0" applyBorder="1" applyFont="1"/>
    <xf borderId="86" fillId="3" fontId="15" numFmtId="3" xfId="0" applyBorder="1" applyFont="1" applyNumberFormat="1"/>
    <xf borderId="87" fillId="3" fontId="15" numFmtId="3" xfId="0" applyBorder="1" applyFont="1" applyNumberFormat="1"/>
    <xf borderId="76" fillId="6" fontId="29" numFmtId="10" xfId="0" applyBorder="1" applyFont="1" applyNumberFormat="1"/>
    <xf borderId="77" fillId="6" fontId="29" numFmtId="10" xfId="0" applyBorder="1" applyFont="1" applyNumberFormat="1"/>
    <xf borderId="88" fillId="3" fontId="20" numFmtId="0" xfId="0" applyBorder="1" applyFont="1"/>
    <xf borderId="89" fillId="3" fontId="15" numFmtId="3" xfId="0" applyBorder="1" applyFont="1" applyNumberFormat="1"/>
    <xf borderId="90" fillId="3" fontId="15" numFmtId="3" xfId="0" applyBorder="1" applyFont="1" applyNumberFormat="1"/>
    <xf borderId="70" fillId="3" fontId="30" numFmtId="0" xfId="0" applyBorder="1" applyFont="1"/>
    <xf borderId="57" fillId="3" fontId="15" numFmtId="3" xfId="0" applyBorder="1" applyFont="1" applyNumberFormat="1"/>
    <xf borderId="71" fillId="3" fontId="15" numFmtId="3" xfId="0" applyBorder="1" applyFont="1" applyNumberFormat="1"/>
    <xf borderId="44" fillId="3" fontId="17" numFmtId="0" xfId="0" applyBorder="1" applyFont="1"/>
    <xf borderId="45" fillId="3" fontId="17" numFmtId="3" xfId="0" applyBorder="1" applyFont="1" applyNumberFormat="1"/>
    <xf borderId="46" fillId="3" fontId="17" numFmtId="3" xfId="0" applyBorder="1" applyFont="1" applyNumberFormat="1"/>
    <xf borderId="78" fillId="3" fontId="30" numFmtId="0" xfId="0" applyBorder="1" applyFont="1"/>
    <xf borderId="45" fillId="3" fontId="17" numFmtId="0" xfId="0" applyBorder="1" applyFont="1"/>
    <xf borderId="47" fillId="3" fontId="17" numFmtId="3" xfId="0" applyBorder="1" applyFont="1" applyNumberFormat="1"/>
    <xf borderId="91" fillId="6" fontId="29" numFmtId="0" xfId="0" applyAlignment="1" applyBorder="1" applyFont="1">
      <alignment horizontal="right"/>
    </xf>
    <xf borderId="92" fillId="6" fontId="29" numFmtId="3" xfId="0" applyBorder="1" applyFont="1" applyNumberFormat="1"/>
    <xf borderId="93" fillId="6" fontId="29" numFmtId="3" xfId="0" applyBorder="1" applyFont="1" applyNumberFormat="1"/>
    <xf borderId="94" fillId="6" fontId="29" numFmtId="0" xfId="0" applyAlignment="1" applyBorder="1" applyFont="1">
      <alignment horizontal="right"/>
    </xf>
    <xf borderId="95" fillId="6" fontId="29" numFmtId="3" xfId="0" applyBorder="1" applyFont="1" applyNumberFormat="1"/>
    <xf borderId="96" fillId="6" fontId="29" numFmtId="3" xfId="0" applyBorder="1" applyFont="1" applyNumberFormat="1"/>
    <xf borderId="84" fillId="6" fontId="29" numFmtId="0" xfId="0" applyAlignment="1" applyBorder="1" applyFont="1">
      <alignment horizontal="right"/>
    </xf>
    <xf borderId="76" fillId="6" fontId="29" numFmtId="3" xfId="0" applyBorder="1" applyFont="1" applyNumberFormat="1"/>
    <xf borderId="68" fillId="3" fontId="16" numFmtId="0" xfId="0" applyAlignment="1" applyBorder="1" applyFont="1">
      <alignment readingOrder="0"/>
    </xf>
    <xf borderId="95" fillId="6" fontId="29" numFmtId="0" xfId="0" applyAlignment="1" applyBorder="1" applyFont="1">
      <alignment horizontal="right"/>
    </xf>
    <xf borderId="23" fillId="3" fontId="15" numFmtId="168" xfId="0" applyBorder="1" applyFont="1" applyNumberFormat="1"/>
    <xf borderId="95" fillId="6" fontId="29" numFmtId="0" xfId="0" applyBorder="1" applyFont="1"/>
    <xf borderId="95" fillId="6" fontId="29" numFmtId="164" xfId="0" applyBorder="1" applyFont="1" applyNumberFormat="1"/>
    <xf borderId="97" fillId="0" fontId="31" numFmtId="0" xfId="0" applyBorder="1" applyFont="1"/>
    <xf borderId="3" fillId="0" fontId="31" numFmtId="164" xfId="0" applyBorder="1" applyFont="1" applyNumberFormat="1"/>
    <xf borderId="97" fillId="0" fontId="31" numFmtId="164" xfId="0" applyBorder="1" applyFont="1" applyNumberFormat="1"/>
    <xf borderId="1" fillId="7" fontId="12" numFmtId="0" xfId="0" applyAlignment="1" applyBorder="1" applyFill="1" applyFont="1">
      <alignment horizontal="center"/>
    </xf>
    <xf borderId="98" fillId="3" fontId="19" numFmtId="0" xfId="0" applyAlignment="1" applyBorder="1" applyFont="1">
      <alignment horizontal="left"/>
    </xf>
    <xf borderId="97" fillId="3" fontId="19" numFmtId="0" xfId="0" applyAlignment="1" applyBorder="1" applyFont="1">
      <alignment horizontal="left"/>
    </xf>
    <xf borderId="99" fillId="3" fontId="19" numFmtId="0" xfId="0" applyAlignment="1" applyBorder="1" applyFont="1">
      <alignment horizontal="left"/>
    </xf>
    <xf borderId="48" fillId="3" fontId="15" numFmtId="0" xfId="0" applyAlignment="1" applyBorder="1" applyFont="1">
      <alignment horizontal="left"/>
    </xf>
    <xf borderId="24" fillId="3" fontId="17" numFmtId="3" xfId="0" applyAlignment="1" applyBorder="1" applyFont="1" applyNumberFormat="1">
      <alignment horizontal="left"/>
    </xf>
    <xf borderId="24" fillId="3" fontId="20" numFmtId="0" xfId="0" applyAlignment="1" applyBorder="1" applyFont="1">
      <alignment horizontal="left"/>
    </xf>
    <xf borderId="23" fillId="3" fontId="16" numFmtId="164" xfId="0" applyAlignment="1" applyBorder="1" applyFont="1" applyNumberFormat="1">
      <alignment horizontal="center" readingOrder="0"/>
    </xf>
    <xf borderId="23" fillId="3" fontId="15" numFmtId="3" xfId="0" applyAlignment="1" applyBorder="1" applyFont="1" applyNumberFormat="1">
      <alignment horizontal="left"/>
    </xf>
    <xf borderId="95" fillId="6" fontId="29" numFmtId="0" xfId="0" applyAlignment="1" applyBorder="1" applyFont="1">
      <alignment horizontal="left"/>
    </xf>
    <xf borderId="95" fillId="6" fontId="29" numFmtId="3" xfId="0" applyAlignment="1" applyBorder="1" applyFont="1" applyNumberFormat="1">
      <alignment horizontal="left"/>
    </xf>
    <xf borderId="23" fillId="3" fontId="20" numFmtId="0" xfId="0" applyAlignment="1" applyBorder="1" applyFont="1">
      <alignment horizontal="left"/>
    </xf>
    <xf borderId="23" fillId="3" fontId="16" numFmtId="0" xfId="0" applyAlignment="1" applyBorder="1" applyFont="1">
      <alignment horizontal="left" readingOrder="0"/>
    </xf>
    <xf borderId="100" fillId="6" fontId="29" numFmtId="0" xfId="0" applyAlignment="1" applyBorder="1" applyFont="1">
      <alignment horizontal="left"/>
    </xf>
    <xf borderId="98" fillId="8" fontId="1" numFmtId="0" xfId="0" applyBorder="1" applyFill="1" applyFont="1"/>
    <xf borderId="97" fillId="8" fontId="1" numFmtId="0" xfId="0" applyBorder="1" applyFont="1"/>
    <xf borderId="99" fillId="8" fontId="1" numFmtId="0" xfId="0" applyBorder="1" applyFont="1"/>
    <xf borderId="101" fillId="3" fontId="15" numFmtId="0" xfId="0" applyAlignment="1" applyBorder="1" applyFont="1">
      <alignment horizontal="center"/>
    </xf>
    <xf borderId="102" fillId="0" fontId="2" numFmtId="0" xfId="0" applyBorder="1" applyFont="1"/>
    <xf borderId="95" fillId="6" fontId="29" numFmtId="164" xfId="0" applyAlignment="1" applyBorder="1" applyFont="1" applyNumberFormat="1">
      <alignment horizontal="right"/>
    </xf>
    <xf borderId="51" fillId="3" fontId="15" numFmtId="0" xfId="0" applyAlignment="1" applyBorder="1" applyFont="1">
      <alignment horizontal="center"/>
    </xf>
    <xf borderId="23" fillId="3" fontId="30" numFmtId="0" xfId="0" applyBorder="1" applyFont="1"/>
    <xf borderId="103" fillId="6" fontId="13" numFmtId="0" xfId="0" applyAlignment="1" applyBorder="1" applyFont="1">
      <alignment horizontal="right"/>
    </xf>
    <xf borderId="103" fillId="6" fontId="13" numFmtId="0" xfId="0" applyBorder="1" applyFont="1"/>
    <xf borderId="104" fillId="0" fontId="9" numFmtId="0" xfId="0" applyBorder="1" applyFont="1"/>
    <xf borderId="105" fillId="6" fontId="29" numFmtId="0" xfId="0" applyAlignment="1" applyBorder="1" applyFont="1">
      <alignment horizontal="center"/>
    </xf>
    <xf borderId="106" fillId="0" fontId="2" numFmtId="0" xfId="0" applyBorder="1" applyFont="1"/>
    <xf borderId="107" fillId="0" fontId="2" numFmtId="0" xfId="0" applyBorder="1" applyFont="1"/>
    <xf borderId="103" fillId="6" fontId="13" numFmtId="164" xfId="0" applyBorder="1" applyFont="1" applyNumberFormat="1"/>
    <xf borderId="56" fillId="4" fontId="16" numFmtId="169" xfId="0" applyBorder="1" applyFont="1" applyNumberFormat="1"/>
    <xf borderId="56" fillId="3" fontId="16" numFmtId="169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externalLink" Target="externalLinks/externalLink1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752475</xdr:colOff>
      <xdr:row>32</xdr:row>
      <xdr:rowOff>0</xdr:rowOff>
    </xdr:from>
    <xdr:ext cx="6429375" cy="514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/Users/macbookair/Library/Mail/V3/IMAP-awmbaye@imap.mail.yahoo.com/Sent.mbox/931E2E14-DDD6-4BE7-9BDD-C88791179D82/Data/7/Attachments/7227/2/my%20project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lan de finan initi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4.13"/>
    <col customWidth="1" min="3" max="3" width="51.63"/>
    <col customWidth="1" min="4" max="4" width="13.0"/>
    <col customWidth="1" min="5" max="26" width="10.63"/>
  </cols>
  <sheetData>
    <row r="1" ht="12.75" customHeight="1"/>
    <row r="2" ht="20.25" customHeight="1">
      <c r="B2" s="1" t="s">
        <v>0</v>
      </c>
      <c r="C2" s="2"/>
      <c r="D2" s="3"/>
      <c r="E2" s="4"/>
      <c r="F2" s="4"/>
    </row>
    <row r="3" ht="12.75" customHeight="1"/>
    <row r="4" ht="12.75" customHeight="1"/>
    <row r="5" ht="12.75" customHeight="1">
      <c r="B5" s="5" t="s">
        <v>1</v>
      </c>
    </row>
    <row r="6" ht="12.75" customHeight="1"/>
    <row r="7" ht="12.75" customHeight="1"/>
    <row r="8" ht="12.75" customHeight="1"/>
    <row r="9" ht="12.75" customHeight="1">
      <c r="B9" s="6" t="s">
        <v>2</v>
      </c>
    </row>
    <row r="10" ht="12.75" customHeight="1">
      <c r="B10" s="7"/>
    </row>
    <row r="11" ht="12.75" customHeight="1">
      <c r="B11" s="8" t="s">
        <v>3</v>
      </c>
      <c r="C11" s="3"/>
      <c r="I11" s="9" t="s">
        <v>4</v>
      </c>
    </row>
    <row r="12" ht="12.75" customHeight="1">
      <c r="B12" s="10"/>
    </row>
    <row r="13" ht="12.75" customHeight="1">
      <c r="B13" s="11" t="s">
        <v>5</v>
      </c>
      <c r="C13" s="12" t="s">
        <v>6</v>
      </c>
      <c r="D13" s="13" t="s">
        <v>7</v>
      </c>
      <c r="I13" s="14" t="s">
        <v>8</v>
      </c>
    </row>
    <row r="14" ht="12.75" customHeight="1">
      <c r="B14" s="15" t="s">
        <v>9</v>
      </c>
      <c r="C14" s="16" t="s">
        <v>10</v>
      </c>
      <c r="D14" s="17" t="s">
        <v>11</v>
      </c>
    </row>
    <row r="15" ht="12.75" customHeight="1">
      <c r="B15" s="18" t="s">
        <v>12</v>
      </c>
      <c r="C15" s="19" t="s">
        <v>13</v>
      </c>
      <c r="D15" s="20" t="s">
        <v>14</v>
      </c>
    </row>
    <row r="16" ht="12.75" customHeight="1">
      <c r="B16" s="18" t="s">
        <v>15</v>
      </c>
      <c r="C16" s="19" t="s">
        <v>16</v>
      </c>
      <c r="D16" s="20" t="s">
        <v>11</v>
      </c>
    </row>
    <row r="17" ht="12.75" customHeight="1">
      <c r="B17" s="18" t="s">
        <v>17</v>
      </c>
      <c r="C17" s="19" t="s">
        <v>18</v>
      </c>
      <c r="D17" s="20" t="s">
        <v>11</v>
      </c>
    </row>
    <row r="18" ht="12.75" customHeight="1">
      <c r="B18" s="18"/>
      <c r="C18" s="19"/>
      <c r="D18" s="20"/>
    </row>
    <row r="19" ht="12.75" customHeight="1">
      <c r="B19" s="18"/>
      <c r="C19" s="19"/>
      <c r="D19" s="20"/>
    </row>
    <row r="20" ht="12.75" customHeight="1">
      <c r="B20" s="18" t="s">
        <v>19</v>
      </c>
      <c r="C20" s="19" t="s">
        <v>20</v>
      </c>
      <c r="D20" s="20" t="s">
        <v>14</v>
      </c>
    </row>
    <row r="21" ht="12.75" customHeight="1">
      <c r="B21" s="21" t="s">
        <v>21</v>
      </c>
      <c r="C21" s="22" t="s">
        <v>22</v>
      </c>
      <c r="D21" s="23" t="s">
        <v>11</v>
      </c>
    </row>
    <row r="22" ht="12.75" customHeight="1">
      <c r="B22" s="10"/>
    </row>
    <row r="23" ht="12.75" customHeight="1">
      <c r="B23" s="8" t="s">
        <v>23</v>
      </c>
      <c r="C23" s="3"/>
    </row>
    <row r="24" ht="12.75" customHeight="1">
      <c r="B24" s="10"/>
    </row>
    <row r="25" ht="12.75" customHeight="1">
      <c r="B25" s="24"/>
      <c r="C25" s="16"/>
      <c r="D25" s="15"/>
    </row>
    <row r="26" ht="12.75" customHeight="1">
      <c r="B26" s="18"/>
      <c r="C26" s="19"/>
      <c r="D26" s="20"/>
    </row>
    <row r="27" ht="12.75" customHeight="1">
      <c r="B27" s="18"/>
      <c r="C27" s="19"/>
      <c r="D27" s="20"/>
    </row>
    <row r="28" ht="12.75" customHeight="1">
      <c r="B28" s="21"/>
      <c r="C28" s="22"/>
      <c r="D28" s="23"/>
    </row>
    <row r="29" ht="12.75" customHeight="1">
      <c r="B29" s="25"/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B2:D2"/>
    <mergeCell ref="B11:C11"/>
    <mergeCell ref="B23:C23"/>
  </mergeCells>
  <printOptions/>
  <pageMargins bottom="0.984251969" footer="0.0" header="0.0" left="0.787401575" right="0.787401575" top="0.984251969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39.88"/>
    <col customWidth="1" min="4" max="4" width="15.13"/>
    <col customWidth="1" min="5" max="5" width="12.88"/>
    <col customWidth="1" min="6" max="6" width="14.0"/>
    <col customWidth="1" min="7" max="7" width="20.5"/>
    <col customWidth="1" min="8" max="26" width="10.63"/>
  </cols>
  <sheetData>
    <row r="1" ht="12.75" customHeight="1"/>
    <row r="2" ht="12.75" customHeight="1">
      <c r="B2" s="26"/>
      <c r="C2" s="27"/>
      <c r="D2" s="27"/>
      <c r="E2" s="27"/>
      <c r="F2" s="27"/>
      <c r="G2" s="28"/>
    </row>
    <row r="3" ht="12.75" customHeight="1">
      <c r="B3" s="29" t="s">
        <v>24</v>
      </c>
      <c r="C3" s="2"/>
      <c r="D3" s="2"/>
      <c r="E3" s="2"/>
      <c r="F3" s="2"/>
      <c r="G3" s="30"/>
    </row>
    <row r="4" ht="12.75" customHeight="1">
      <c r="B4" s="31"/>
      <c r="C4" s="32"/>
      <c r="D4" s="32"/>
      <c r="E4" s="32"/>
      <c r="F4" s="32"/>
      <c r="G4" s="33"/>
    </row>
    <row r="5" ht="12.75" customHeight="1">
      <c r="B5" s="34"/>
      <c r="G5" s="35"/>
    </row>
    <row r="6" ht="12.75" customHeight="1">
      <c r="B6" s="34"/>
      <c r="C6" s="36" t="s">
        <v>25</v>
      </c>
      <c r="D6" s="37"/>
      <c r="E6" s="38"/>
      <c r="F6" s="38"/>
      <c r="G6" s="35"/>
    </row>
    <row r="7" ht="12.75" customHeight="1">
      <c r="B7" s="34"/>
      <c r="C7" s="39"/>
      <c r="D7" s="39"/>
      <c r="G7" s="35"/>
    </row>
    <row r="8" ht="12.75" customHeight="1">
      <c r="B8" s="34"/>
      <c r="C8" s="39" t="s">
        <v>26</v>
      </c>
      <c r="D8" s="39" t="s">
        <v>27</v>
      </c>
      <c r="G8" s="35"/>
    </row>
    <row r="9" ht="12.75" customHeight="1">
      <c r="B9" s="34"/>
      <c r="C9" s="39" t="s">
        <v>28</v>
      </c>
      <c r="D9" s="40">
        <v>10000.0</v>
      </c>
      <c r="G9" s="35"/>
    </row>
    <row r="10" ht="12.75" customHeight="1">
      <c r="B10" s="34"/>
      <c r="C10" s="39" t="s">
        <v>29</v>
      </c>
      <c r="D10" s="40">
        <v>15000.0</v>
      </c>
      <c r="G10" s="35"/>
    </row>
    <row r="11" ht="12.75" customHeight="1">
      <c r="B11" s="34"/>
      <c r="C11" s="39" t="s">
        <v>30</v>
      </c>
      <c r="D11" s="40">
        <v>12000.0</v>
      </c>
      <c r="G11" s="35"/>
    </row>
    <row r="12" ht="12.75" customHeight="1">
      <c r="B12" s="34"/>
      <c r="C12" s="39" t="s">
        <v>31</v>
      </c>
      <c r="D12" s="40">
        <v>0.0</v>
      </c>
      <c r="G12" s="35"/>
    </row>
    <row r="13" ht="12.75" customHeight="1">
      <c r="B13" s="34"/>
      <c r="C13" s="39" t="s">
        <v>32</v>
      </c>
      <c r="D13" s="40">
        <v>0.0</v>
      </c>
      <c r="G13" s="35"/>
    </row>
    <row r="14" ht="12.75" customHeight="1">
      <c r="B14" s="34"/>
      <c r="C14" s="39" t="s">
        <v>33</v>
      </c>
      <c r="D14" s="40">
        <v>27000.0</v>
      </c>
      <c r="G14" s="35"/>
    </row>
    <row r="15" ht="12.75" customHeight="1">
      <c r="B15" s="34"/>
      <c r="C15" s="39" t="s">
        <v>34</v>
      </c>
      <c r="D15" s="41">
        <v>50000.0</v>
      </c>
      <c r="G15" s="35"/>
    </row>
    <row r="16" ht="12.75" customHeight="1">
      <c r="B16" s="34"/>
      <c r="C16" s="39" t="s">
        <v>35</v>
      </c>
      <c r="D16" s="40">
        <v>0.0</v>
      </c>
      <c r="G16" s="35"/>
    </row>
    <row r="17" ht="12.75" customHeight="1">
      <c r="B17" s="34"/>
      <c r="C17" s="39" t="s">
        <v>36</v>
      </c>
      <c r="D17" s="40">
        <v>0.0</v>
      </c>
      <c r="G17" s="35"/>
    </row>
    <row r="18" ht="12.75" customHeight="1">
      <c r="B18" s="34"/>
      <c r="C18" s="39"/>
      <c r="D18" s="40"/>
      <c r="G18" s="35"/>
    </row>
    <row r="19" ht="12.75" customHeight="1">
      <c r="B19" s="34"/>
      <c r="C19" s="42" t="s">
        <v>37</v>
      </c>
      <c r="D19" s="43">
        <f>SUM(D15:D18)+SUM(D9:D14)</f>
        <v>114000</v>
      </c>
      <c r="G19" s="35"/>
    </row>
    <row r="20" ht="12.75" customHeight="1">
      <c r="B20" s="34"/>
      <c r="G20" s="35"/>
    </row>
    <row r="21" ht="12.75" customHeight="1">
      <c r="B21" s="44"/>
      <c r="C21" s="45"/>
      <c r="D21" s="45"/>
      <c r="E21" s="45"/>
      <c r="F21" s="45"/>
      <c r="G21" s="46"/>
    </row>
    <row r="22" ht="12.75" customHeight="1"/>
    <row r="23" ht="12.75" customHeight="1">
      <c r="B23" s="47" t="s">
        <v>38</v>
      </c>
      <c r="C23" s="2"/>
      <c r="D23" s="2"/>
      <c r="E23" s="2"/>
      <c r="F23" s="2"/>
      <c r="G23" s="3"/>
    </row>
    <row r="24" ht="12.75" customHeight="1">
      <c r="B24" s="48"/>
      <c r="C24" s="32"/>
      <c r="D24" s="32"/>
      <c r="E24" s="32"/>
      <c r="F24" s="32"/>
      <c r="G24" s="49"/>
    </row>
    <row r="25" ht="12.75" customHeight="1">
      <c r="B25" s="50"/>
      <c r="G25" s="51"/>
    </row>
    <row r="26" ht="12.75" customHeight="1">
      <c r="B26" s="50"/>
      <c r="C26" s="36" t="s">
        <v>38</v>
      </c>
      <c r="D26" s="37"/>
      <c r="E26" s="38"/>
      <c r="F26" s="38"/>
      <c r="G26" s="51"/>
    </row>
    <row r="27" ht="12.75" customHeight="1">
      <c r="B27" s="50"/>
      <c r="C27" s="39"/>
      <c r="D27" s="39"/>
      <c r="G27" s="51"/>
    </row>
    <row r="28" ht="12.75" customHeight="1">
      <c r="B28" s="50"/>
      <c r="C28" s="39" t="s">
        <v>26</v>
      </c>
      <c r="D28" s="39" t="s">
        <v>27</v>
      </c>
      <c r="G28" s="51"/>
    </row>
    <row r="29" ht="12.75" customHeight="1">
      <c r="B29" s="50"/>
      <c r="C29" s="39" t="s">
        <v>39</v>
      </c>
      <c r="D29" s="40">
        <v>150000.0</v>
      </c>
      <c r="G29" s="51"/>
    </row>
    <row r="30" ht="12.75" customHeight="1">
      <c r="B30" s="50"/>
      <c r="C30" s="39" t="s">
        <v>40</v>
      </c>
      <c r="D30" s="40">
        <v>30000.0</v>
      </c>
      <c r="G30" s="51"/>
    </row>
    <row r="31" ht="12.75" customHeight="1">
      <c r="B31" s="50"/>
      <c r="C31" s="39" t="s">
        <v>41</v>
      </c>
      <c r="D31" s="40">
        <v>650000.0</v>
      </c>
      <c r="G31" s="51"/>
    </row>
    <row r="32" ht="12.75" customHeight="1">
      <c r="B32" s="50"/>
      <c r="C32" s="39" t="s">
        <v>42</v>
      </c>
      <c r="D32" s="41">
        <v>100000.0</v>
      </c>
      <c r="G32" s="51"/>
    </row>
    <row r="33" ht="12.75" customHeight="1">
      <c r="B33" s="50"/>
      <c r="C33" s="39" t="s">
        <v>43</v>
      </c>
      <c r="D33" s="41"/>
      <c r="G33" s="51"/>
    </row>
    <row r="34" ht="12.75" customHeight="1">
      <c r="B34" s="50"/>
      <c r="C34" s="39" t="s">
        <v>44</v>
      </c>
      <c r="D34" s="41">
        <v>250000.0</v>
      </c>
      <c r="G34" s="51"/>
    </row>
    <row r="35" ht="12.75" customHeight="1">
      <c r="B35" s="50"/>
      <c r="C35" s="39"/>
      <c r="D35" s="40"/>
      <c r="G35" s="51"/>
    </row>
    <row r="36" ht="12.75" customHeight="1">
      <c r="B36" s="50"/>
      <c r="C36" s="42" t="s">
        <v>37</v>
      </c>
      <c r="D36" s="43">
        <f>SUM(D29:D34)</f>
        <v>1180000</v>
      </c>
      <c r="G36" s="51"/>
    </row>
    <row r="37" ht="12.75" customHeight="1">
      <c r="B37" s="50"/>
      <c r="G37" s="51"/>
    </row>
    <row r="38" ht="12.75" customHeight="1">
      <c r="B38" s="52"/>
      <c r="C38" s="53"/>
      <c r="D38" s="53"/>
      <c r="E38" s="53"/>
      <c r="F38" s="53"/>
      <c r="G38" s="54"/>
    </row>
    <row r="39" ht="12.75" customHeight="1"/>
    <row r="40" ht="12.75" customHeight="1"/>
    <row r="41" ht="12.75" customHeight="1">
      <c r="B41" s="47" t="s">
        <v>45</v>
      </c>
      <c r="C41" s="2"/>
      <c r="D41" s="2"/>
      <c r="E41" s="2"/>
      <c r="F41" s="2"/>
      <c r="G41" s="3"/>
    </row>
    <row r="42" ht="12.75" customHeight="1">
      <c r="B42" s="55"/>
      <c r="C42" s="56"/>
      <c r="D42" s="56"/>
      <c r="E42" s="56"/>
      <c r="F42" s="56"/>
      <c r="G42" s="57"/>
    </row>
    <row r="43" ht="12.75" customHeight="1">
      <c r="B43" s="50"/>
      <c r="G43" s="51"/>
    </row>
    <row r="44" ht="12.75" customHeight="1">
      <c r="B44" s="50"/>
      <c r="C44" s="36" t="s">
        <v>46</v>
      </c>
      <c r="D44" s="58"/>
      <c r="E44" s="58"/>
      <c r="F44" s="37"/>
      <c r="G44" s="51"/>
    </row>
    <row r="45" ht="12.75" customHeight="1">
      <c r="B45" s="50"/>
      <c r="C45" s="59"/>
      <c r="D45" s="59"/>
      <c r="E45" s="59"/>
      <c r="F45" s="59"/>
      <c r="G45" s="51"/>
    </row>
    <row r="46" ht="12.75" customHeight="1">
      <c r="B46" s="50"/>
      <c r="C46" s="39" t="s">
        <v>47</v>
      </c>
      <c r="D46" s="59" t="s">
        <v>48</v>
      </c>
      <c r="E46" s="59" t="s">
        <v>49</v>
      </c>
      <c r="F46" s="59" t="s">
        <v>27</v>
      </c>
      <c r="G46" s="51"/>
    </row>
    <row r="47" ht="12.75" customHeight="1">
      <c r="B47" s="50"/>
      <c r="C47" s="59"/>
      <c r="D47" s="59"/>
      <c r="E47" s="60"/>
      <c r="F47" s="60"/>
      <c r="G47" s="51"/>
    </row>
    <row r="48" ht="12.75" customHeight="1">
      <c r="B48" s="50"/>
      <c r="C48" s="59" t="s">
        <v>50</v>
      </c>
      <c r="D48" s="59">
        <v>2.0</v>
      </c>
      <c r="E48" s="60">
        <v>11200.0</v>
      </c>
      <c r="F48" s="60">
        <f t="shared" ref="F48:F60" si="1">E48*D48</f>
        <v>22400</v>
      </c>
      <c r="G48" s="51"/>
    </row>
    <row r="49" ht="12.75" customHeight="1">
      <c r="B49" s="50"/>
      <c r="C49" s="59" t="s">
        <v>51</v>
      </c>
      <c r="D49" s="59">
        <v>6.0</v>
      </c>
      <c r="E49" s="60">
        <v>22300.0</v>
      </c>
      <c r="F49" s="60">
        <f t="shared" si="1"/>
        <v>133800</v>
      </c>
      <c r="G49" s="51"/>
    </row>
    <row r="50" ht="12.75" customHeight="1">
      <c r="B50" s="50"/>
      <c r="C50" s="59" t="s">
        <v>52</v>
      </c>
      <c r="D50" s="59">
        <v>1.0</v>
      </c>
      <c r="E50" s="60">
        <v>9300.0</v>
      </c>
      <c r="F50" s="60">
        <f t="shared" si="1"/>
        <v>9300</v>
      </c>
      <c r="G50" s="51"/>
    </row>
    <row r="51" ht="12.75" customHeight="1">
      <c r="B51" s="50"/>
      <c r="C51" s="59" t="s">
        <v>53</v>
      </c>
      <c r="D51" s="59">
        <v>1.0</v>
      </c>
      <c r="E51" s="60">
        <v>10550.0</v>
      </c>
      <c r="F51" s="60">
        <f t="shared" si="1"/>
        <v>10550</v>
      </c>
      <c r="G51" s="51"/>
    </row>
    <row r="52" ht="12.75" customHeight="1">
      <c r="B52" s="50"/>
      <c r="C52" s="59" t="s">
        <v>54</v>
      </c>
      <c r="D52" s="59">
        <v>10.0</v>
      </c>
      <c r="E52" s="60">
        <v>3050.0</v>
      </c>
      <c r="F52" s="60">
        <f t="shared" si="1"/>
        <v>30500</v>
      </c>
      <c r="G52" s="51"/>
    </row>
    <row r="53" ht="12.75" customHeight="1">
      <c r="B53" s="50"/>
      <c r="C53" s="59" t="s">
        <v>55</v>
      </c>
      <c r="D53" s="59">
        <v>10.0</v>
      </c>
      <c r="E53" s="60">
        <v>3800.0</v>
      </c>
      <c r="F53" s="60">
        <f t="shared" si="1"/>
        <v>38000</v>
      </c>
      <c r="G53" s="51"/>
    </row>
    <row r="54" ht="12.75" customHeight="1">
      <c r="B54" s="50"/>
      <c r="C54" s="59" t="s">
        <v>56</v>
      </c>
      <c r="D54" s="59">
        <v>15.0</v>
      </c>
      <c r="E54" s="60">
        <v>5000.0</v>
      </c>
      <c r="F54" s="60">
        <f t="shared" si="1"/>
        <v>75000</v>
      </c>
      <c r="G54" s="51"/>
    </row>
    <row r="55" ht="12.75" customHeight="1">
      <c r="B55" s="50"/>
      <c r="C55" s="59" t="s">
        <v>57</v>
      </c>
      <c r="D55" s="59">
        <v>5.0</v>
      </c>
      <c r="E55" s="60">
        <v>2640.0</v>
      </c>
      <c r="F55" s="60">
        <f t="shared" si="1"/>
        <v>13200</v>
      </c>
      <c r="G55" s="51"/>
    </row>
    <row r="56" ht="12.75" customHeight="1">
      <c r="B56" s="50"/>
      <c r="C56" s="59" t="s">
        <v>58</v>
      </c>
      <c r="D56" s="59">
        <v>6.0</v>
      </c>
      <c r="E56" s="60">
        <v>6560.0</v>
      </c>
      <c r="F56" s="60">
        <f t="shared" si="1"/>
        <v>39360</v>
      </c>
      <c r="G56" s="51"/>
    </row>
    <row r="57" ht="12.75" customHeight="1">
      <c r="B57" s="50"/>
      <c r="C57" s="59" t="s">
        <v>59</v>
      </c>
      <c r="D57" s="59">
        <v>6.0</v>
      </c>
      <c r="E57" s="60">
        <v>13200.0</v>
      </c>
      <c r="F57" s="60">
        <f t="shared" si="1"/>
        <v>79200</v>
      </c>
      <c r="G57" s="51"/>
    </row>
    <row r="58" ht="12.75" customHeight="1">
      <c r="B58" s="50"/>
      <c r="C58" s="59" t="s">
        <v>60</v>
      </c>
      <c r="D58" s="59">
        <v>5.0</v>
      </c>
      <c r="E58" s="60">
        <v>11250.0</v>
      </c>
      <c r="F58" s="60">
        <f t="shared" si="1"/>
        <v>56250</v>
      </c>
      <c r="G58" s="51"/>
    </row>
    <row r="59" ht="12.75" customHeight="1">
      <c r="B59" s="50"/>
      <c r="C59" s="59" t="s">
        <v>61</v>
      </c>
      <c r="D59" s="59">
        <v>6.0</v>
      </c>
      <c r="E59" s="60">
        <v>14550.0</v>
      </c>
      <c r="F59" s="60">
        <f t="shared" si="1"/>
        <v>87300</v>
      </c>
      <c r="G59" s="51"/>
    </row>
    <row r="60" ht="12.75" customHeight="1">
      <c r="B60" s="50"/>
      <c r="C60" s="59" t="s">
        <v>62</v>
      </c>
      <c r="D60" s="59">
        <v>50.0</v>
      </c>
      <c r="E60" s="60">
        <v>5950.0</v>
      </c>
      <c r="F60" s="60">
        <f t="shared" si="1"/>
        <v>297500</v>
      </c>
      <c r="G60" s="51"/>
    </row>
    <row r="61" ht="12.75" customHeight="1">
      <c r="B61" s="50"/>
      <c r="C61" s="59"/>
      <c r="D61" s="59"/>
      <c r="E61" s="60"/>
      <c r="F61" s="60"/>
      <c r="G61" s="51"/>
    </row>
    <row r="62" ht="12.75" customHeight="1">
      <c r="B62" s="50"/>
      <c r="C62" s="61" t="s">
        <v>37</v>
      </c>
      <c r="D62" s="61"/>
      <c r="E62" s="62"/>
      <c r="F62" s="62">
        <f>SUM(F47:F60)</f>
        <v>892360</v>
      </c>
      <c r="G62" s="51"/>
    </row>
    <row r="63" ht="12.75" customHeight="1">
      <c r="B63" s="50"/>
      <c r="G63" s="51"/>
    </row>
    <row r="64" ht="12.75" customHeight="1">
      <c r="B64" s="50"/>
      <c r="G64" s="51"/>
    </row>
    <row r="65" ht="12.75" customHeight="1">
      <c r="B65" s="50"/>
      <c r="C65" s="36" t="s">
        <v>63</v>
      </c>
      <c r="D65" s="58"/>
      <c r="E65" s="58"/>
      <c r="F65" s="37"/>
      <c r="G65" s="51"/>
    </row>
    <row r="66" ht="12.75" customHeight="1">
      <c r="B66" s="50"/>
      <c r="C66" s="39"/>
      <c r="D66" s="39"/>
      <c r="E66" s="39"/>
      <c r="F66" s="39"/>
      <c r="G66" s="51"/>
    </row>
    <row r="67" ht="12.75" customHeight="1">
      <c r="B67" s="50"/>
      <c r="C67" s="39" t="s">
        <v>64</v>
      </c>
      <c r="D67" s="39" t="s">
        <v>48</v>
      </c>
      <c r="E67" s="39" t="s">
        <v>49</v>
      </c>
      <c r="F67" s="39" t="s">
        <v>27</v>
      </c>
      <c r="G67" s="51"/>
    </row>
    <row r="68" ht="12.75" customHeight="1">
      <c r="B68" s="50"/>
      <c r="C68" s="39" t="s">
        <v>65</v>
      </c>
      <c r="D68" s="40">
        <v>1.0</v>
      </c>
      <c r="E68" s="40">
        <v>650000.0</v>
      </c>
      <c r="F68" s="40">
        <f>E68*D68</f>
        <v>650000</v>
      </c>
      <c r="G68" s="51"/>
    </row>
    <row r="69" ht="12.75" customHeight="1">
      <c r="B69" s="50"/>
      <c r="C69" s="39" t="s">
        <v>66</v>
      </c>
      <c r="D69" s="40">
        <v>1.0</v>
      </c>
      <c r="E69" s="40">
        <v>15000.0</v>
      </c>
      <c r="F69" s="40">
        <f>PRODUCT(D69,E69)</f>
        <v>15000</v>
      </c>
      <c r="G69" s="51"/>
    </row>
    <row r="70" ht="12.75" customHeight="1">
      <c r="B70" s="50"/>
      <c r="C70" s="39" t="s">
        <v>67</v>
      </c>
      <c r="D70" s="40">
        <v>1.0</v>
      </c>
      <c r="E70" s="40">
        <v>100000.0</v>
      </c>
      <c r="F70" s="40">
        <f>D70*E70</f>
        <v>100000</v>
      </c>
      <c r="G70" s="51"/>
    </row>
    <row r="71" ht="12.75" customHeight="1">
      <c r="B71" s="50"/>
      <c r="C71" s="39" t="s">
        <v>68</v>
      </c>
      <c r="D71" s="40">
        <v>1.0</v>
      </c>
      <c r="E71" s="40">
        <v>65000.0</v>
      </c>
      <c r="F71" s="40">
        <f>E71*D71</f>
        <v>65000</v>
      </c>
      <c r="G71" s="51"/>
    </row>
    <row r="72" ht="12.75" customHeight="1">
      <c r="B72" s="50"/>
      <c r="C72" s="39" t="s">
        <v>69</v>
      </c>
      <c r="D72" s="40">
        <v>3.0</v>
      </c>
      <c r="E72" s="40">
        <v>10000.0</v>
      </c>
      <c r="F72" s="40">
        <f>PRODUCT(D72,E72)</f>
        <v>30000</v>
      </c>
      <c r="G72" s="51"/>
    </row>
    <row r="73" ht="12.75" customHeight="1">
      <c r="B73" s="50"/>
      <c r="C73" s="39" t="s">
        <v>70</v>
      </c>
      <c r="D73" s="40">
        <v>1.0</v>
      </c>
      <c r="E73" s="40">
        <v>250000.0</v>
      </c>
      <c r="F73" s="40">
        <f>D73*E73</f>
        <v>250000</v>
      </c>
      <c r="G73" s="51"/>
    </row>
    <row r="74" ht="12.75" customHeight="1">
      <c r="B74" s="50"/>
      <c r="C74" s="39"/>
      <c r="D74" s="40"/>
      <c r="E74" s="40"/>
      <c r="F74" s="40">
        <f>E74*D74</f>
        <v>0</v>
      </c>
      <c r="G74" s="51"/>
    </row>
    <row r="75" ht="12.75" customHeight="1">
      <c r="B75" s="50"/>
      <c r="C75" s="42" t="s">
        <v>37</v>
      </c>
      <c r="D75" s="43"/>
      <c r="E75" s="43"/>
      <c r="F75" s="43">
        <f>SUM(F68:F73)</f>
        <v>1110000</v>
      </c>
      <c r="G75" s="51"/>
    </row>
    <row r="76" ht="12.75" customHeight="1">
      <c r="B76" s="50"/>
      <c r="G76" s="51"/>
    </row>
    <row r="77" ht="12.75" customHeight="1">
      <c r="B77" s="50"/>
      <c r="G77" s="51"/>
    </row>
    <row r="78" ht="12.75" customHeight="1">
      <c r="B78" s="50"/>
      <c r="C78" s="36" t="s">
        <v>71</v>
      </c>
      <c r="D78" s="58"/>
      <c r="E78" s="58"/>
      <c r="F78" s="37"/>
      <c r="G78" s="51"/>
    </row>
    <row r="79" ht="12.75" customHeight="1">
      <c r="B79" s="50"/>
      <c r="C79" s="39"/>
      <c r="D79" s="39"/>
      <c r="E79" s="59"/>
      <c r="F79" s="59"/>
      <c r="G79" s="51"/>
    </row>
    <row r="80" ht="12.75" customHeight="1">
      <c r="B80" s="50"/>
      <c r="C80" s="39" t="s">
        <v>72</v>
      </c>
      <c r="D80" s="59" t="s">
        <v>73</v>
      </c>
      <c r="E80" s="59" t="s">
        <v>74</v>
      </c>
      <c r="F80" s="39" t="s">
        <v>27</v>
      </c>
      <c r="G80" s="51"/>
    </row>
    <row r="81" ht="12.75" customHeight="1">
      <c r="B81" s="50"/>
      <c r="C81" s="39" t="s">
        <v>75</v>
      </c>
      <c r="D81" s="59"/>
      <c r="E81" s="59"/>
      <c r="F81" s="41">
        <v>10000.0</v>
      </c>
      <c r="G81" s="51"/>
    </row>
    <row r="82" ht="12.75" customHeight="1">
      <c r="B82" s="50"/>
      <c r="C82" s="39" t="s">
        <v>76</v>
      </c>
      <c r="D82" s="59"/>
      <c r="E82" s="59"/>
      <c r="F82" s="41">
        <v>10000.0</v>
      </c>
      <c r="G82" s="51"/>
    </row>
    <row r="83" ht="12.75" customHeight="1">
      <c r="B83" s="50"/>
      <c r="C83" s="39" t="s">
        <v>77</v>
      </c>
      <c r="D83" s="59"/>
      <c r="E83" s="59"/>
      <c r="F83" s="41">
        <v>5000.0</v>
      </c>
      <c r="G83" s="51"/>
    </row>
    <row r="84" ht="12.75" customHeight="1">
      <c r="B84" s="50"/>
      <c r="C84" s="39" t="s">
        <v>78</v>
      </c>
      <c r="D84" s="59">
        <v>1.0</v>
      </c>
      <c r="E84" s="59">
        <v>15000.0</v>
      </c>
      <c r="F84" s="40">
        <f t="shared" ref="F84:F86" si="2">PRODUCT(D84,E84)</f>
        <v>15000</v>
      </c>
      <c r="G84" s="51"/>
    </row>
    <row r="85" ht="12.75" customHeight="1">
      <c r="B85" s="50"/>
      <c r="C85" s="39" t="s">
        <v>79</v>
      </c>
      <c r="D85" s="59">
        <v>1.0</v>
      </c>
      <c r="E85" s="59">
        <v>50000.0</v>
      </c>
      <c r="F85" s="40">
        <f t="shared" si="2"/>
        <v>50000</v>
      </c>
      <c r="G85" s="51"/>
    </row>
    <row r="86" ht="12.75" customHeight="1">
      <c r="B86" s="50"/>
      <c r="C86" s="39" t="s">
        <v>80</v>
      </c>
      <c r="D86" s="59"/>
      <c r="E86" s="59">
        <v>100000.0</v>
      </c>
      <c r="F86" s="40">
        <f t="shared" si="2"/>
        <v>100000</v>
      </c>
      <c r="G86" s="51"/>
    </row>
    <row r="87" ht="12.75" customHeight="1">
      <c r="B87" s="50"/>
      <c r="C87" s="42" t="s">
        <v>37</v>
      </c>
      <c r="D87" s="61"/>
      <c r="E87" s="61"/>
      <c r="F87" s="43">
        <f>SUM(F81:F86)</f>
        <v>190000</v>
      </c>
      <c r="G87" s="51"/>
    </row>
    <row r="88" ht="12.75" customHeight="1">
      <c r="B88" s="52"/>
      <c r="C88" s="53"/>
      <c r="D88" s="53"/>
      <c r="E88" s="53"/>
      <c r="F88" s="53"/>
      <c r="G88" s="54"/>
    </row>
    <row r="89" ht="12.75" customHeight="1">
      <c r="C89" s="63"/>
    </row>
    <row r="90" ht="12.75" customHeight="1">
      <c r="C90" s="63"/>
    </row>
    <row r="91" ht="12.75" customHeight="1">
      <c r="B91" s="47" t="s">
        <v>81</v>
      </c>
      <c r="C91" s="2"/>
      <c r="D91" s="2"/>
      <c r="E91" s="2"/>
      <c r="F91" s="2"/>
      <c r="G91" s="3"/>
    </row>
    <row r="92" ht="12.75" customHeight="1">
      <c r="B92" s="48"/>
      <c r="C92" s="64"/>
      <c r="D92" s="32"/>
      <c r="E92" s="32"/>
      <c r="F92" s="32"/>
      <c r="G92" s="49"/>
    </row>
    <row r="93" ht="12.75" customHeight="1">
      <c r="B93" s="50"/>
      <c r="C93" s="7"/>
      <c r="G93" s="51"/>
    </row>
    <row r="94" ht="12.75" customHeight="1">
      <c r="B94" s="50"/>
      <c r="C94" s="36" t="s">
        <v>82</v>
      </c>
      <c r="D94" s="37"/>
      <c r="E94" s="38"/>
      <c r="F94" s="38"/>
      <c r="G94" s="51"/>
    </row>
    <row r="95" ht="12.75" customHeight="1">
      <c r="B95" s="50"/>
      <c r="C95" s="59"/>
      <c r="D95" s="59"/>
      <c r="G95" s="51"/>
    </row>
    <row r="96" ht="12.75" customHeight="1">
      <c r="B96" s="50"/>
      <c r="C96" s="59" t="s">
        <v>26</v>
      </c>
      <c r="D96" s="65" t="s">
        <v>27</v>
      </c>
      <c r="G96" s="51"/>
    </row>
    <row r="97" ht="12.75" customHeight="1">
      <c r="B97" s="50"/>
      <c r="C97" s="59" t="s">
        <v>83</v>
      </c>
      <c r="D97" s="60">
        <v>150000.0</v>
      </c>
      <c r="G97" s="51"/>
    </row>
    <row r="98" ht="12.75" customHeight="1">
      <c r="B98" s="50"/>
      <c r="C98" s="59" t="s">
        <v>84</v>
      </c>
      <c r="D98" s="60"/>
      <c r="G98" s="51"/>
    </row>
    <row r="99" ht="12.75" customHeight="1">
      <c r="B99" s="50"/>
      <c r="C99" s="39" t="s">
        <v>85</v>
      </c>
      <c r="D99" s="60">
        <v>2000.0</v>
      </c>
      <c r="G99" s="51"/>
    </row>
    <row r="100" ht="12.75" customHeight="1">
      <c r="B100" s="50"/>
      <c r="C100" s="39" t="s">
        <v>86</v>
      </c>
      <c r="D100" s="60">
        <v>20000.0</v>
      </c>
      <c r="G100" s="51"/>
    </row>
    <row r="101" ht="12.75" customHeight="1">
      <c r="B101" s="50"/>
      <c r="C101" s="39" t="s">
        <v>87</v>
      </c>
      <c r="D101" s="60">
        <v>10000.0</v>
      </c>
      <c r="G101" s="51"/>
    </row>
    <row r="102" ht="12.75" customHeight="1">
      <c r="B102" s="50"/>
      <c r="C102" s="39" t="s">
        <v>88</v>
      </c>
      <c r="D102" s="60"/>
      <c r="G102" s="51"/>
    </row>
    <row r="103" ht="12.75" customHeight="1">
      <c r="B103" s="50"/>
      <c r="C103" s="39"/>
      <c r="D103" s="60"/>
      <c r="G103" s="51"/>
    </row>
    <row r="104" ht="12.75" customHeight="1">
      <c r="B104" s="50"/>
      <c r="C104" s="61" t="s">
        <v>37</v>
      </c>
      <c r="D104" s="62">
        <f>SUM(D97:D103)</f>
        <v>182000</v>
      </c>
      <c r="G104" s="51"/>
    </row>
    <row r="105" ht="12.75" customHeight="1">
      <c r="B105" s="50"/>
      <c r="G105" s="51"/>
    </row>
    <row r="106" ht="12.75" customHeight="1">
      <c r="B106" s="52"/>
      <c r="C106" s="53"/>
      <c r="D106" s="53"/>
      <c r="E106" s="53"/>
      <c r="F106" s="53"/>
      <c r="G106" s="54"/>
    </row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0">
    <mergeCell ref="C78:F78"/>
    <mergeCell ref="B91:G91"/>
    <mergeCell ref="C94:D94"/>
    <mergeCell ref="B3:G3"/>
    <mergeCell ref="C6:D6"/>
    <mergeCell ref="B23:G23"/>
    <mergeCell ref="C26:D26"/>
    <mergeCell ref="B41:G41"/>
    <mergeCell ref="C44:F44"/>
    <mergeCell ref="C65:F65"/>
  </mergeCells>
  <printOptions/>
  <pageMargins bottom="0.984251969" footer="0.0" header="0.0" left="0.787401575" right="0.787401575" top="0.984251969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38"/>
    <col customWidth="1" min="2" max="2" width="15.5"/>
    <col customWidth="1" min="3" max="3" width="6.5"/>
    <col customWidth="1" min="4" max="4" width="17.13"/>
    <col customWidth="1" min="5" max="5" width="14.5"/>
    <col customWidth="1" min="6" max="6" width="17.13"/>
    <col customWidth="1" min="7" max="7" width="14.5"/>
    <col customWidth="1" min="8" max="8" width="17.13"/>
    <col customWidth="1" min="9" max="9" width="14.5"/>
    <col customWidth="1" min="10" max="10" width="17.13"/>
    <col customWidth="1" min="11" max="11" width="12.88"/>
    <col customWidth="1" min="12" max="12" width="17.13"/>
    <col customWidth="1" min="13" max="13" width="12.88"/>
    <col customWidth="1" min="14" max="26" width="10.63"/>
  </cols>
  <sheetData>
    <row r="1" ht="12.75" customHeight="1"/>
    <row r="2" ht="12.75" customHeight="1"/>
    <row r="3" ht="12.75" customHeight="1">
      <c r="A3" s="66" t="s">
        <v>89</v>
      </c>
      <c r="B3" s="66" t="s">
        <v>27</v>
      </c>
      <c r="C3" s="66" t="s">
        <v>90</v>
      </c>
      <c r="D3" s="67" t="s">
        <v>91</v>
      </c>
      <c r="E3" s="68"/>
      <c r="F3" s="69" t="s">
        <v>92</v>
      </c>
      <c r="G3" s="70"/>
      <c r="H3" s="71" t="s">
        <v>93</v>
      </c>
      <c r="I3" s="72"/>
      <c r="J3" s="69" t="s">
        <v>94</v>
      </c>
      <c r="K3" s="70"/>
      <c r="L3" s="71" t="s">
        <v>95</v>
      </c>
      <c r="M3" s="72"/>
    </row>
    <row r="4" ht="12.75" customHeight="1">
      <c r="A4" s="73"/>
      <c r="B4" s="73"/>
      <c r="C4" s="73"/>
      <c r="D4" s="74" t="s">
        <v>96</v>
      </c>
      <c r="E4" s="75" t="s">
        <v>97</v>
      </c>
      <c r="F4" s="76" t="s">
        <v>96</v>
      </c>
      <c r="G4" s="75" t="s">
        <v>97</v>
      </c>
      <c r="H4" s="75" t="s">
        <v>96</v>
      </c>
      <c r="I4" s="76" t="s">
        <v>97</v>
      </c>
      <c r="J4" s="75" t="s">
        <v>96</v>
      </c>
      <c r="K4" s="76" t="s">
        <v>97</v>
      </c>
      <c r="L4" s="75" t="s">
        <v>96</v>
      </c>
      <c r="M4" s="77" t="s">
        <v>97</v>
      </c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2.75" customHeight="1">
      <c r="A5" s="78" t="s">
        <v>98</v>
      </c>
      <c r="B5" s="79">
        <f>Immobilisations!D19</f>
        <v>114000</v>
      </c>
      <c r="C5" s="78">
        <v>5.0</v>
      </c>
      <c r="D5" s="79">
        <f>B5/C5</f>
        <v>22800</v>
      </c>
      <c r="E5" s="79">
        <f>B5-D5</f>
        <v>91200</v>
      </c>
      <c r="F5" s="79">
        <f>D5</f>
        <v>22800</v>
      </c>
      <c r="G5" s="79">
        <f>E5-F5</f>
        <v>68400</v>
      </c>
      <c r="H5" s="79">
        <f>D5</f>
        <v>22800</v>
      </c>
      <c r="I5" s="79">
        <f>G5-H5</f>
        <v>45600</v>
      </c>
      <c r="J5" s="79">
        <f>D5</f>
        <v>22800</v>
      </c>
      <c r="K5" s="79">
        <f>I5-J5</f>
        <v>22800</v>
      </c>
      <c r="L5" s="79">
        <f>D5</f>
        <v>22800</v>
      </c>
      <c r="M5" s="79">
        <f>K5-L5</f>
        <v>0</v>
      </c>
    </row>
    <row r="6" ht="12.75" customHeight="1">
      <c r="A6" s="59"/>
      <c r="B6" s="60"/>
      <c r="C6" s="59"/>
      <c r="D6" s="60"/>
      <c r="E6" s="60"/>
      <c r="F6" s="60"/>
      <c r="G6" s="60"/>
      <c r="H6" s="60"/>
      <c r="I6" s="60"/>
      <c r="J6" s="60"/>
      <c r="K6" s="60"/>
      <c r="L6" s="60"/>
      <c r="M6" s="60"/>
    </row>
    <row r="7" ht="12.75" customHeight="1">
      <c r="A7" s="59" t="s">
        <v>99</v>
      </c>
      <c r="B7" s="60">
        <f>Immobilisations!D36</f>
        <v>1180000</v>
      </c>
      <c r="C7" s="59">
        <v>5.0</v>
      </c>
      <c r="D7" s="60">
        <f>B7/C7</f>
        <v>236000</v>
      </c>
      <c r="E7" s="60">
        <f>B7-D7</f>
        <v>944000</v>
      </c>
      <c r="F7" s="60">
        <f>D7</f>
        <v>236000</v>
      </c>
      <c r="G7" s="60">
        <f>E7-F7</f>
        <v>708000</v>
      </c>
      <c r="H7" s="60">
        <f>D7</f>
        <v>236000</v>
      </c>
      <c r="I7" s="60">
        <f>G7-H7</f>
        <v>472000</v>
      </c>
      <c r="J7" s="60">
        <f>D7</f>
        <v>236000</v>
      </c>
      <c r="K7" s="60">
        <f>I7-J7</f>
        <v>236000</v>
      </c>
      <c r="L7" s="60">
        <f>D7</f>
        <v>236000</v>
      </c>
      <c r="M7" s="60">
        <f>K7-L7</f>
        <v>0</v>
      </c>
    </row>
    <row r="8" ht="12.75" customHeight="1">
      <c r="A8" s="59"/>
      <c r="B8" s="60"/>
      <c r="C8" s="59"/>
      <c r="D8" s="60"/>
      <c r="E8" s="60"/>
      <c r="F8" s="60"/>
      <c r="G8" s="60"/>
      <c r="H8" s="60"/>
      <c r="I8" s="60"/>
      <c r="J8" s="60"/>
      <c r="K8" s="60"/>
      <c r="L8" s="60"/>
      <c r="M8" s="60"/>
    </row>
    <row r="9" ht="12.75" customHeight="1">
      <c r="A9" s="59" t="str">
        <f>Immobilisations!C48</f>
        <v>boite de gants nitriles</v>
      </c>
      <c r="B9" s="60">
        <f>Immobilisations!F48</f>
        <v>22400</v>
      </c>
      <c r="C9" s="59">
        <v>10.0</v>
      </c>
      <c r="D9" s="60">
        <f t="shared" ref="D9:D20" si="1">B9/C9</f>
        <v>2240</v>
      </c>
      <c r="E9" s="60">
        <f t="shared" ref="E9:E20" si="2">B9-D9</f>
        <v>20160</v>
      </c>
      <c r="F9" s="60">
        <f t="shared" ref="F9:F20" si="3">D9</f>
        <v>2240</v>
      </c>
      <c r="G9" s="60">
        <f t="shared" ref="G9:G20" si="4">E9-F9</f>
        <v>17920</v>
      </c>
      <c r="H9" s="60">
        <f t="shared" ref="H9:H20" si="5">D9</f>
        <v>2240</v>
      </c>
      <c r="I9" s="60">
        <f t="shared" ref="I9:I20" si="6">G9-H9</f>
        <v>15680</v>
      </c>
      <c r="J9" s="60">
        <f t="shared" ref="J9:J20" si="7">D9</f>
        <v>2240</v>
      </c>
      <c r="K9" s="60">
        <f t="shared" ref="K9:K20" si="8">I9-J9</f>
        <v>13440</v>
      </c>
      <c r="L9" s="60">
        <f t="shared" ref="L9:L20" si="9">D9</f>
        <v>2240</v>
      </c>
      <c r="M9" s="60">
        <f t="shared" ref="M9:M20" si="10">K9-L9</f>
        <v>11200</v>
      </c>
    </row>
    <row r="10" ht="12.75" customHeight="1">
      <c r="A10" s="39" t="str">
        <f>Immobilisations!C49</f>
        <v>Masque de protection</v>
      </c>
      <c r="B10" s="60">
        <f>Immobilisations!F49</f>
        <v>133800</v>
      </c>
      <c r="C10" s="59">
        <v>10.0</v>
      </c>
      <c r="D10" s="60">
        <f t="shared" si="1"/>
        <v>13380</v>
      </c>
      <c r="E10" s="60">
        <f t="shared" si="2"/>
        <v>120420</v>
      </c>
      <c r="F10" s="60">
        <f t="shared" si="3"/>
        <v>13380</v>
      </c>
      <c r="G10" s="60">
        <f t="shared" si="4"/>
        <v>107040</v>
      </c>
      <c r="H10" s="60">
        <f t="shared" si="5"/>
        <v>13380</v>
      </c>
      <c r="I10" s="60">
        <f t="shared" si="6"/>
        <v>93660</v>
      </c>
      <c r="J10" s="60">
        <f t="shared" si="7"/>
        <v>13380</v>
      </c>
      <c r="K10" s="60">
        <f t="shared" si="8"/>
        <v>80280</v>
      </c>
      <c r="L10" s="60">
        <f t="shared" si="9"/>
        <v>13380</v>
      </c>
      <c r="M10" s="60">
        <f t="shared" si="10"/>
        <v>66900</v>
      </c>
    </row>
    <row r="11" ht="12.75" customHeight="1">
      <c r="A11" s="39" t="str">
        <f>Immobilisations!C50</f>
        <v>Balance electrique </v>
      </c>
      <c r="B11" s="60">
        <f>Immobilisations!F50</f>
        <v>9300</v>
      </c>
      <c r="C11" s="59">
        <v>5.0</v>
      </c>
      <c r="D11" s="60">
        <f t="shared" si="1"/>
        <v>1860</v>
      </c>
      <c r="E11" s="60">
        <f t="shared" si="2"/>
        <v>7440</v>
      </c>
      <c r="F11" s="60">
        <f t="shared" si="3"/>
        <v>1860</v>
      </c>
      <c r="G11" s="60">
        <f t="shared" si="4"/>
        <v>5580</v>
      </c>
      <c r="H11" s="60">
        <f t="shared" si="5"/>
        <v>1860</v>
      </c>
      <c r="I11" s="60">
        <f t="shared" si="6"/>
        <v>3720</v>
      </c>
      <c r="J11" s="60">
        <f t="shared" si="7"/>
        <v>1860</v>
      </c>
      <c r="K11" s="60">
        <f t="shared" si="8"/>
        <v>1860</v>
      </c>
      <c r="L11" s="60">
        <f t="shared" si="9"/>
        <v>1860</v>
      </c>
      <c r="M11" s="60">
        <f t="shared" si="10"/>
        <v>0</v>
      </c>
    </row>
    <row r="12" ht="12.75" customHeight="1">
      <c r="A12" s="39" t="str">
        <f>Immobilisations!C58</f>
        <v>Paquet de Colorant</v>
      </c>
      <c r="B12" s="60">
        <f>Immobilisations!F58</f>
        <v>56250</v>
      </c>
      <c r="C12" s="59">
        <v>1.0</v>
      </c>
      <c r="D12" s="60">
        <f t="shared" si="1"/>
        <v>56250</v>
      </c>
      <c r="E12" s="60">
        <f t="shared" si="2"/>
        <v>0</v>
      </c>
      <c r="F12" s="60">
        <f t="shared" si="3"/>
        <v>56250</v>
      </c>
      <c r="G12" s="60">
        <f t="shared" si="4"/>
        <v>-56250</v>
      </c>
      <c r="H12" s="60">
        <f t="shared" si="5"/>
        <v>56250</v>
      </c>
      <c r="I12" s="60">
        <f t="shared" si="6"/>
        <v>-112500</v>
      </c>
      <c r="J12" s="60">
        <f t="shared" si="7"/>
        <v>56250</v>
      </c>
      <c r="K12" s="60">
        <f t="shared" si="8"/>
        <v>-168750</v>
      </c>
      <c r="L12" s="60">
        <f t="shared" si="9"/>
        <v>56250</v>
      </c>
      <c r="M12" s="60">
        <f t="shared" si="10"/>
        <v>-225000</v>
      </c>
    </row>
    <row r="13" ht="12.75" customHeight="1">
      <c r="A13" s="59" t="str">
        <f>Immobilisations!C59</f>
        <v>Poudre de mica </v>
      </c>
      <c r="B13" s="60">
        <f>Immobilisations!F59</f>
        <v>87300</v>
      </c>
      <c r="C13" s="59">
        <v>1.0</v>
      </c>
      <c r="D13" s="60">
        <f t="shared" si="1"/>
        <v>87300</v>
      </c>
      <c r="E13" s="60">
        <f t="shared" si="2"/>
        <v>0</v>
      </c>
      <c r="F13" s="60">
        <f t="shared" si="3"/>
        <v>87300</v>
      </c>
      <c r="G13" s="60">
        <f t="shared" si="4"/>
        <v>-87300</v>
      </c>
      <c r="H13" s="60">
        <f t="shared" si="5"/>
        <v>87300</v>
      </c>
      <c r="I13" s="60">
        <f t="shared" si="6"/>
        <v>-174600</v>
      </c>
      <c r="J13" s="60">
        <f t="shared" si="7"/>
        <v>87300</v>
      </c>
      <c r="K13" s="60">
        <f t="shared" si="8"/>
        <v>-261900</v>
      </c>
      <c r="L13" s="60">
        <f t="shared" si="9"/>
        <v>87300</v>
      </c>
      <c r="M13" s="60">
        <f t="shared" si="10"/>
        <v>-349200</v>
      </c>
    </row>
    <row r="14" ht="12.75" customHeight="1">
      <c r="A14" s="59" t="str">
        <f>Immobilisations!C60</f>
        <v>Feuille d'or</v>
      </c>
      <c r="B14" s="60">
        <f>Immobilisations!F60</f>
        <v>297500</v>
      </c>
      <c r="C14" s="59">
        <v>1.0</v>
      </c>
      <c r="D14" s="60">
        <f t="shared" si="1"/>
        <v>297500</v>
      </c>
      <c r="E14" s="60">
        <f t="shared" si="2"/>
        <v>0</v>
      </c>
      <c r="F14" s="60">
        <f t="shared" si="3"/>
        <v>297500</v>
      </c>
      <c r="G14" s="60">
        <f t="shared" si="4"/>
        <v>-297500</v>
      </c>
      <c r="H14" s="60">
        <f t="shared" si="5"/>
        <v>297500</v>
      </c>
      <c r="I14" s="60">
        <f t="shared" si="6"/>
        <v>-595000</v>
      </c>
      <c r="J14" s="60">
        <f t="shared" si="7"/>
        <v>297500</v>
      </c>
      <c r="K14" s="60">
        <f t="shared" si="8"/>
        <v>-892500</v>
      </c>
      <c r="L14" s="60">
        <f t="shared" si="9"/>
        <v>297500</v>
      </c>
      <c r="M14" s="60">
        <f t="shared" si="10"/>
        <v>-1190000</v>
      </c>
    </row>
    <row r="15" ht="12.75" customHeight="1">
      <c r="A15" s="39" t="str">
        <f>Immobilisations!C68</f>
        <v>Cricut maker 3</v>
      </c>
      <c r="B15" s="60">
        <f>Immobilisations!F68</f>
        <v>650000</v>
      </c>
      <c r="C15" s="59">
        <v>1.0</v>
      </c>
      <c r="D15" s="60">
        <f t="shared" si="1"/>
        <v>650000</v>
      </c>
      <c r="E15" s="60">
        <f t="shared" si="2"/>
        <v>0</v>
      </c>
      <c r="F15" s="60">
        <f t="shared" si="3"/>
        <v>650000</v>
      </c>
      <c r="G15" s="60">
        <f t="shared" si="4"/>
        <v>-650000</v>
      </c>
      <c r="H15" s="60">
        <f t="shared" si="5"/>
        <v>650000</v>
      </c>
      <c r="I15" s="60">
        <f t="shared" si="6"/>
        <v>-1300000</v>
      </c>
      <c r="J15" s="60">
        <f t="shared" si="7"/>
        <v>650000</v>
      </c>
      <c r="K15" s="60">
        <f t="shared" si="8"/>
        <v>-1950000</v>
      </c>
      <c r="L15" s="60">
        <f t="shared" si="9"/>
        <v>650000</v>
      </c>
      <c r="M15" s="60">
        <f t="shared" si="10"/>
        <v>-2600000</v>
      </c>
    </row>
    <row r="16" ht="12.75" customHeight="1">
      <c r="A16" s="39" t="str">
        <f>Immobilisations!C69</f>
        <v>Table</v>
      </c>
      <c r="B16" s="60">
        <f>Immobilisations!F69</f>
        <v>15000</v>
      </c>
      <c r="C16" s="59">
        <v>10.0</v>
      </c>
      <c r="D16" s="60">
        <f t="shared" si="1"/>
        <v>1500</v>
      </c>
      <c r="E16" s="60">
        <f t="shared" si="2"/>
        <v>13500</v>
      </c>
      <c r="F16" s="60">
        <f t="shared" si="3"/>
        <v>1500</v>
      </c>
      <c r="G16" s="60">
        <f t="shared" si="4"/>
        <v>12000</v>
      </c>
      <c r="H16" s="60">
        <f t="shared" si="5"/>
        <v>1500</v>
      </c>
      <c r="I16" s="60">
        <f t="shared" si="6"/>
        <v>10500</v>
      </c>
      <c r="J16" s="60">
        <f t="shared" si="7"/>
        <v>1500</v>
      </c>
      <c r="K16" s="60">
        <f t="shared" si="8"/>
        <v>9000</v>
      </c>
      <c r="L16" s="60">
        <f t="shared" si="9"/>
        <v>1500</v>
      </c>
      <c r="M16" s="60">
        <f t="shared" si="10"/>
        <v>7500</v>
      </c>
    </row>
    <row r="17" ht="12.75" customHeight="1">
      <c r="A17" s="59" t="str">
        <f>Immobilisations!C70</f>
        <v>Ordinateur de bureau</v>
      </c>
      <c r="B17" s="60">
        <f>Immobilisations!F70</f>
        <v>100000</v>
      </c>
      <c r="C17" s="59">
        <v>10.0</v>
      </c>
      <c r="D17" s="60">
        <f t="shared" si="1"/>
        <v>10000</v>
      </c>
      <c r="E17" s="60">
        <f t="shared" si="2"/>
        <v>90000</v>
      </c>
      <c r="F17" s="60">
        <f t="shared" si="3"/>
        <v>10000</v>
      </c>
      <c r="G17" s="60">
        <f t="shared" si="4"/>
        <v>80000</v>
      </c>
      <c r="H17" s="60">
        <f t="shared" si="5"/>
        <v>10000</v>
      </c>
      <c r="I17" s="60">
        <f t="shared" si="6"/>
        <v>70000</v>
      </c>
      <c r="J17" s="60">
        <f t="shared" si="7"/>
        <v>10000</v>
      </c>
      <c r="K17" s="60">
        <f t="shared" si="8"/>
        <v>60000</v>
      </c>
      <c r="L17" s="60">
        <f t="shared" si="9"/>
        <v>10000</v>
      </c>
      <c r="M17" s="60">
        <f t="shared" si="10"/>
        <v>50000</v>
      </c>
    </row>
    <row r="18" ht="12.75" customHeight="1">
      <c r="A18" s="59" t="str">
        <f>Immobilisations!C71</f>
        <v>Imprimante </v>
      </c>
      <c r="B18" s="60">
        <f>Immobilisations!F71</f>
        <v>65000</v>
      </c>
      <c r="C18" s="59">
        <v>10.0</v>
      </c>
      <c r="D18" s="60">
        <f t="shared" si="1"/>
        <v>6500</v>
      </c>
      <c r="E18" s="60">
        <f t="shared" si="2"/>
        <v>58500</v>
      </c>
      <c r="F18" s="60">
        <f t="shared" si="3"/>
        <v>6500</v>
      </c>
      <c r="G18" s="60">
        <f t="shared" si="4"/>
        <v>52000</v>
      </c>
      <c r="H18" s="60">
        <f t="shared" si="5"/>
        <v>6500</v>
      </c>
      <c r="I18" s="60">
        <f t="shared" si="6"/>
        <v>45500</v>
      </c>
      <c r="J18" s="60">
        <f t="shared" si="7"/>
        <v>6500</v>
      </c>
      <c r="K18" s="60">
        <f t="shared" si="8"/>
        <v>39000</v>
      </c>
      <c r="L18" s="60">
        <f t="shared" si="9"/>
        <v>6500</v>
      </c>
      <c r="M18" s="60">
        <f t="shared" si="10"/>
        <v>32500</v>
      </c>
    </row>
    <row r="19" ht="12.75" customHeight="1">
      <c r="A19" s="59" t="str">
        <f>Immobilisations!C72</f>
        <v>Chaise</v>
      </c>
      <c r="B19" s="60">
        <f>Immobilisations!F72</f>
        <v>30000</v>
      </c>
      <c r="C19" s="59">
        <v>5.0</v>
      </c>
      <c r="D19" s="60">
        <f t="shared" si="1"/>
        <v>6000</v>
      </c>
      <c r="E19" s="60">
        <f t="shared" si="2"/>
        <v>24000</v>
      </c>
      <c r="F19" s="60">
        <f t="shared" si="3"/>
        <v>6000</v>
      </c>
      <c r="G19" s="60">
        <f t="shared" si="4"/>
        <v>18000</v>
      </c>
      <c r="H19" s="60">
        <f t="shared" si="5"/>
        <v>6000</v>
      </c>
      <c r="I19" s="60">
        <f t="shared" si="6"/>
        <v>12000</v>
      </c>
      <c r="J19" s="60">
        <f t="shared" si="7"/>
        <v>6000</v>
      </c>
      <c r="K19" s="60">
        <f t="shared" si="8"/>
        <v>6000</v>
      </c>
      <c r="L19" s="60">
        <f t="shared" si="9"/>
        <v>6000</v>
      </c>
      <c r="M19" s="60">
        <f t="shared" si="10"/>
        <v>0</v>
      </c>
    </row>
    <row r="20" ht="12.75" customHeight="1">
      <c r="A20" s="59" t="str">
        <f>Immobilisations!C73</f>
        <v>Autres Matériels et Mobiliers de bureau</v>
      </c>
      <c r="B20" s="60">
        <f>Immobilisations!F73</f>
        <v>250000</v>
      </c>
      <c r="C20" s="59">
        <v>5.0</v>
      </c>
      <c r="D20" s="60">
        <f t="shared" si="1"/>
        <v>50000</v>
      </c>
      <c r="E20" s="60">
        <f t="shared" si="2"/>
        <v>200000</v>
      </c>
      <c r="F20" s="60">
        <f t="shared" si="3"/>
        <v>50000</v>
      </c>
      <c r="G20" s="60">
        <f t="shared" si="4"/>
        <v>150000</v>
      </c>
      <c r="H20" s="60">
        <f t="shared" si="5"/>
        <v>50000</v>
      </c>
      <c r="I20" s="60">
        <f t="shared" si="6"/>
        <v>100000</v>
      </c>
      <c r="J20" s="60">
        <f t="shared" si="7"/>
        <v>50000</v>
      </c>
      <c r="K20" s="60">
        <f t="shared" si="8"/>
        <v>50000</v>
      </c>
      <c r="L20" s="60">
        <f t="shared" si="9"/>
        <v>50000</v>
      </c>
      <c r="M20" s="60">
        <f t="shared" si="10"/>
        <v>0</v>
      </c>
    </row>
    <row r="21" ht="12.75" customHeight="1">
      <c r="A21" s="59"/>
      <c r="B21" s="60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</row>
    <row r="22" ht="12.75" customHeight="1">
      <c r="A22" s="59" t="s">
        <v>100</v>
      </c>
      <c r="B22" s="60">
        <f>Immobilisations!F87</f>
        <v>190000</v>
      </c>
      <c r="C22" s="59">
        <v>5.0</v>
      </c>
      <c r="D22" s="60">
        <f>B22/C22</f>
        <v>38000</v>
      </c>
      <c r="E22" s="60">
        <f>B22-D22</f>
        <v>152000</v>
      </c>
      <c r="F22" s="60">
        <f>D22</f>
        <v>38000</v>
      </c>
      <c r="G22" s="60">
        <f>E22-F22</f>
        <v>114000</v>
      </c>
      <c r="H22" s="60">
        <f>D22</f>
        <v>38000</v>
      </c>
      <c r="I22" s="60">
        <f>G22-H22</f>
        <v>76000</v>
      </c>
      <c r="J22" s="60">
        <f>D22</f>
        <v>38000</v>
      </c>
      <c r="K22" s="60">
        <f>I22-J22</f>
        <v>38000</v>
      </c>
      <c r="L22" s="60">
        <f>D22</f>
        <v>38000</v>
      </c>
      <c r="M22" s="60">
        <f>K22-L22</f>
        <v>0</v>
      </c>
    </row>
    <row r="23" ht="12.75" customHeight="1">
      <c r="A23" s="59"/>
      <c r="B23" s="60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</row>
    <row r="24" ht="12.75" customHeight="1">
      <c r="A24" s="61" t="s">
        <v>37</v>
      </c>
      <c r="B24" s="62">
        <f>SUM(B5:B23)</f>
        <v>3200550</v>
      </c>
      <c r="C24" s="61"/>
      <c r="D24" s="62">
        <f>SUM(D5:D23)</f>
        <v>1479330</v>
      </c>
      <c r="E24" s="62"/>
      <c r="F24" s="62">
        <f>D24</f>
        <v>1479330</v>
      </c>
      <c r="G24" s="62"/>
      <c r="H24" s="62">
        <f>SUM(H5:H23)</f>
        <v>1479330</v>
      </c>
      <c r="I24" s="62"/>
      <c r="J24" s="62">
        <f>SUM(J5:J23)</f>
        <v>1479330</v>
      </c>
      <c r="K24" s="62"/>
      <c r="L24" s="62">
        <f>SUM(L5:L23)</f>
        <v>1479330</v>
      </c>
      <c r="M24" s="62"/>
    </row>
    <row r="25" ht="12.75" customHeight="1">
      <c r="K25" s="80"/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A3:A4"/>
    <mergeCell ref="B3:B4"/>
    <mergeCell ref="C3:C4"/>
    <mergeCell ref="D3:E3"/>
    <mergeCell ref="F3:G3"/>
    <mergeCell ref="H3:I3"/>
    <mergeCell ref="J3:K3"/>
    <mergeCell ref="L3:M3"/>
  </mergeCells>
  <printOptions/>
  <pageMargins bottom="0.984251969" footer="0.0" header="0.0" left="0.787401575" right="0.787401575" top="0.984251969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29.88"/>
    <col customWidth="1" min="4" max="4" width="14.5"/>
    <col customWidth="1" min="5" max="5" width="16.63"/>
    <col customWidth="1" min="6" max="6" width="20.5"/>
    <col customWidth="1" min="7" max="7" width="24.63"/>
    <col customWidth="1" min="8" max="8" width="15.5"/>
    <col customWidth="1" min="9" max="26" width="10.63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>
      <c r="C6" s="81" t="s">
        <v>101</v>
      </c>
      <c r="D6" s="81" t="s">
        <v>102</v>
      </c>
      <c r="E6" s="81" t="s">
        <v>103</v>
      </c>
      <c r="F6" s="81" t="s">
        <v>104</v>
      </c>
      <c r="G6" s="81" t="s">
        <v>105</v>
      </c>
      <c r="H6" s="81" t="s">
        <v>106</v>
      </c>
    </row>
    <row r="7" ht="12.75" customHeight="1">
      <c r="C7" s="59"/>
      <c r="D7" s="59"/>
      <c r="E7" s="59"/>
      <c r="F7" s="59"/>
      <c r="G7" s="59"/>
      <c r="H7" s="59"/>
    </row>
    <row r="8" ht="12.75" customHeight="1">
      <c r="C8" s="59" t="s">
        <v>107</v>
      </c>
      <c r="D8" s="59">
        <v>1.0</v>
      </c>
      <c r="E8" s="59"/>
      <c r="F8" s="82">
        <v>50000.0</v>
      </c>
      <c r="G8" s="82">
        <f t="shared" ref="G8:G9" si="1">D8*F8</f>
        <v>50000</v>
      </c>
      <c r="H8" s="59">
        <f>G8*D25</f>
        <v>5300</v>
      </c>
    </row>
    <row r="9" ht="12.75" customHeight="1">
      <c r="C9" s="59" t="s">
        <v>108</v>
      </c>
      <c r="D9" s="59">
        <v>1.0</v>
      </c>
      <c r="E9" s="59"/>
      <c r="F9" s="82">
        <v>75000.0</v>
      </c>
      <c r="G9" s="82">
        <f t="shared" si="1"/>
        <v>75000</v>
      </c>
      <c r="H9" s="59">
        <f>G9*D25</f>
        <v>7950</v>
      </c>
    </row>
    <row r="10" ht="12.75" customHeight="1">
      <c r="C10" s="59" t="s">
        <v>109</v>
      </c>
      <c r="D10" s="59">
        <v>1.0</v>
      </c>
      <c r="E10" s="59"/>
      <c r="F10" s="82">
        <v>100000.0</v>
      </c>
      <c r="G10" s="82">
        <f>F10*D10</f>
        <v>100000</v>
      </c>
      <c r="H10" s="59">
        <f>G10*D25</f>
        <v>10600</v>
      </c>
    </row>
    <row r="11" ht="12.75" customHeight="1">
      <c r="C11" s="59" t="s">
        <v>110</v>
      </c>
      <c r="D11" s="59">
        <v>0.0</v>
      </c>
      <c r="E11" s="59"/>
      <c r="F11" s="82">
        <v>55000.0</v>
      </c>
      <c r="G11" s="83">
        <v>55000.0</v>
      </c>
      <c r="H11" s="59">
        <f>G11*D25</f>
        <v>5830</v>
      </c>
    </row>
    <row r="12" ht="12.75" customHeight="1">
      <c r="C12" s="59" t="s">
        <v>111</v>
      </c>
      <c r="D12" s="59">
        <v>1.0</v>
      </c>
      <c r="E12" s="59"/>
      <c r="F12" s="82">
        <v>60000.0</v>
      </c>
      <c r="G12" s="82">
        <f>D12*F12</f>
        <v>60000</v>
      </c>
      <c r="H12" s="59">
        <f>G12*D25</f>
        <v>6360</v>
      </c>
    </row>
    <row r="13" ht="12.75" customHeight="1">
      <c r="C13" s="59"/>
      <c r="D13" s="59"/>
      <c r="E13" s="59"/>
      <c r="F13" s="82"/>
      <c r="G13" s="82"/>
      <c r="H13" s="59"/>
    </row>
    <row r="14" ht="12.75" customHeight="1">
      <c r="C14" s="59" t="s">
        <v>112</v>
      </c>
      <c r="D14" s="59"/>
      <c r="E14" s="59"/>
      <c r="F14" s="59"/>
      <c r="G14" s="60">
        <f t="shared" ref="G14:H14" si="2">SUM(G8:G13)</f>
        <v>340000</v>
      </c>
      <c r="H14" s="59">
        <f t="shared" si="2"/>
        <v>36040</v>
      </c>
    </row>
    <row r="15" ht="12.75" customHeight="1">
      <c r="C15" s="59" t="s">
        <v>113</v>
      </c>
      <c r="D15" s="59"/>
      <c r="E15" s="59"/>
      <c r="F15" s="59"/>
      <c r="G15" s="60">
        <f t="shared" ref="G15:H15" si="3">PRODUCT(G14,12)</f>
        <v>4080000</v>
      </c>
      <c r="H15" s="60">
        <f t="shared" si="3"/>
        <v>432480</v>
      </c>
    </row>
    <row r="16" ht="12.75" customHeight="1"/>
    <row r="17" ht="12.75" customHeight="1"/>
    <row r="18" ht="12.75" customHeight="1"/>
    <row r="19" ht="12.75" customHeight="1">
      <c r="C19" s="84" t="s">
        <v>114</v>
      </c>
      <c r="D19" s="85"/>
      <c r="E19" s="86"/>
    </row>
    <row r="20" ht="12.75" customHeight="1">
      <c r="C20" s="59" t="s">
        <v>115</v>
      </c>
      <c r="D20" s="65" t="s">
        <v>116</v>
      </c>
      <c r="E20" s="87"/>
      <c r="G20" s="88"/>
      <c r="H20" s="89"/>
    </row>
    <row r="21" ht="12.75" customHeight="1">
      <c r="C21" s="59" t="s">
        <v>117</v>
      </c>
      <c r="D21" s="90">
        <v>0.03</v>
      </c>
      <c r="E21" s="91"/>
      <c r="G21" s="92"/>
      <c r="H21" s="80"/>
    </row>
    <row r="22" ht="12.75" customHeight="1">
      <c r="C22" s="59" t="s">
        <v>118</v>
      </c>
      <c r="D22" s="93">
        <v>0.056</v>
      </c>
      <c r="E22" s="91"/>
      <c r="G22" s="92"/>
      <c r="H22" s="80"/>
    </row>
    <row r="23" ht="12.75" customHeight="1">
      <c r="C23" s="59" t="s">
        <v>119</v>
      </c>
      <c r="D23" s="90">
        <v>0.01</v>
      </c>
      <c r="E23" s="91"/>
      <c r="G23" s="92"/>
      <c r="H23" s="80"/>
    </row>
    <row r="24" ht="12.75" customHeight="1">
      <c r="C24" s="59" t="s">
        <v>120</v>
      </c>
      <c r="D24" s="90">
        <v>0.01</v>
      </c>
      <c r="E24" s="91"/>
      <c r="G24" s="92"/>
      <c r="H24" s="80"/>
    </row>
    <row r="25" ht="12.75" customHeight="1">
      <c r="C25" s="59" t="s">
        <v>121</v>
      </c>
      <c r="D25" s="93">
        <f>SUM(D21:D24)</f>
        <v>0.106</v>
      </c>
      <c r="E25" s="94"/>
      <c r="G25" s="92"/>
      <c r="H25" s="95"/>
    </row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C19:D19"/>
  </mergeCells>
  <printOptions/>
  <pageMargins bottom="0.984251969" footer="0.0" header="0.0" left="0.787401575" right="0.787401575" top="0.984251969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55.5"/>
    <col customWidth="1" min="4" max="4" width="15.38"/>
    <col customWidth="1" min="5" max="5" width="14.88"/>
    <col customWidth="1" min="6" max="6" width="14.5"/>
    <col customWidth="1" min="7" max="7" width="15.5"/>
    <col customWidth="1" min="8" max="26" width="10.63"/>
  </cols>
  <sheetData>
    <row r="1" ht="12.75" customHeight="1"/>
    <row r="2" ht="12.75" customHeight="1"/>
    <row r="3" ht="12.75" customHeight="1"/>
    <row r="4" ht="12.75" customHeight="1">
      <c r="C4" s="96" t="s">
        <v>122</v>
      </c>
      <c r="D4" s="96" t="s">
        <v>123</v>
      </c>
      <c r="E4" s="96" t="s">
        <v>124</v>
      </c>
      <c r="F4" s="96" t="s">
        <v>125</v>
      </c>
      <c r="G4" s="96" t="s">
        <v>126</v>
      </c>
      <c r="H4" s="97"/>
      <c r="I4" s="97"/>
    </row>
    <row r="5" ht="12.75" customHeight="1">
      <c r="C5" s="65"/>
      <c r="D5" s="65"/>
      <c r="E5" s="65"/>
      <c r="F5" s="65"/>
      <c r="G5" s="65"/>
      <c r="H5" s="97"/>
      <c r="I5" s="97"/>
    </row>
    <row r="6" ht="12.75" customHeight="1">
      <c r="C6" s="59" t="s">
        <v>127</v>
      </c>
      <c r="D6" s="98">
        <v>0.0</v>
      </c>
      <c r="E6" s="98"/>
      <c r="F6" s="98"/>
      <c r="G6" s="65"/>
    </row>
    <row r="7" ht="12.75" customHeight="1">
      <c r="C7" s="59" t="s">
        <v>128</v>
      </c>
      <c r="D7" s="98">
        <v>892330.0</v>
      </c>
      <c r="E7" s="98"/>
      <c r="F7" s="99">
        <f t="shared" ref="F7:F29" si="1">D7*6</f>
        <v>5353980</v>
      </c>
      <c r="G7" s="99">
        <f t="shared" ref="G7:G27" si="2">F7*2</f>
        <v>10707960</v>
      </c>
    </row>
    <row r="8" ht="12.75" customHeight="1">
      <c r="C8" s="59" t="s">
        <v>129</v>
      </c>
      <c r="D8" s="98">
        <v>0.0</v>
      </c>
      <c r="E8" s="98"/>
      <c r="F8" s="99">
        <f t="shared" si="1"/>
        <v>0</v>
      </c>
      <c r="G8" s="99">
        <f t="shared" si="2"/>
        <v>0</v>
      </c>
    </row>
    <row r="9" ht="12.75" customHeight="1">
      <c r="C9" s="59" t="s">
        <v>130</v>
      </c>
      <c r="D9" s="98">
        <v>0.0</v>
      </c>
      <c r="E9" s="98"/>
      <c r="F9" s="99">
        <f t="shared" si="1"/>
        <v>0</v>
      </c>
      <c r="G9" s="99">
        <f t="shared" si="2"/>
        <v>0</v>
      </c>
    </row>
    <row r="10" ht="12.75" customHeight="1">
      <c r="C10" s="59" t="s">
        <v>131</v>
      </c>
      <c r="D10" s="98">
        <v>70000.0</v>
      </c>
      <c r="E10" s="98"/>
      <c r="F10" s="99">
        <f t="shared" si="1"/>
        <v>420000</v>
      </c>
      <c r="G10" s="99">
        <f t="shared" si="2"/>
        <v>840000</v>
      </c>
    </row>
    <row r="11" ht="12.75" customHeight="1">
      <c r="C11" s="59" t="s">
        <v>132</v>
      </c>
      <c r="D11" s="98">
        <v>1110000.0</v>
      </c>
      <c r="E11" s="98"/>
      <c r="F11" s="99">
        <f t="shared" si="1"/>
        <v>6660000</v>
      </c>
      <c r="G11" s="99">
        <f t="shared" si="2"/>
        <v>13320000</v>
      </c>
    </row>
    <row r="12" ht="12.75" customHeight="1">
      <c r="C12" s="59" t="s">
        <v>133</v>
      </c>
      <c r="D12" s="98">
        <v>2000.0</v>
      </c>
      <c r="E12" s="98"/>
      <c r="F12" s="99">
        <f t="shared" si="1"/>
        <v>12000</v>
      </c>
      <c r="G12" s="99">
        <f t="shared" si="2"/>
        <v>24000</v>
      </c>
    </row>
    <row r="13" ht="12.75" customHeight="1">
      <c r="C13" s="59" t="s">
        <v>134</v>
      </c>
      <c r="D13" s="98">
        <v>20000.0</v>
      </c>
      <c r="E13" s="98"/>
      <c r="F13" s="99">
        <f t="shared" si="1"/>
        <v>120000</v>
      </c>
      <c r="G13" s="99">
        <f t="shared" si="2"/>
        <v>240000</v>
      </c>
    </row>
    <row r="14" ht="12.75" customHeight="1">
      <c r="C14" s="59" t="s">
        <v>135</v>
      </c>
      <c r="D14" s="98">
        <v>0.0</v>
      </c>
      <c r="E14" s="98"/>
      <c r="F14" s="99">
        <f t="shared" si="1"/>
        <v>0</v>
      </c>
      <c r="G14" s="99">
        <f t="shared" si="2"/>
        <v>0</v>
      </c>
    </row>
    <row r="15" ht="12.75" customHeight="1">
      <c r="C15" s="59" t="s">
        <v>136</v>
      </c>
      <c r="D15" s="98">
        <v>0.0</v>
      </c>
      <c r="E15" s="98"/>
      <c r="F15" s="99">
        <f t="shared" si="1"/>
        <v>0</v>
      </c>
      <c r="G15" s="99">
        <f t="shared" si="2"/>
        <v>0</v>
      </c>
    </row>
    <row r="16" ht="12.75" customHeight="1">
      <c r="C16" s="59" t="s">
        <v>137</v>
      </c>
      <c r="D16" s="98">
        <v>50000.0</v>
      </c>
      <c r="E16" s="98"/>
      <c r="F16" s="99">
        <f t="shared" si="1"/>
        <v>300000</v>
      </c>
      <c r="G16" s="99">
        <f t="shared" si="2"/>
        <v>600000</v>
      </c>
    </row>
    <row r="17" ht="12.75" customHeight="1">
      <c r="C17" s="59" t="s">
        <v>138</v>
      </c>
      <c r="D17" s="98">
        <v>100000.0</v>
      </c>
      <c r="E17" s="98"/>
      <c r="F17" s="99">
        <f t="shared" si="1"/>
        <v>600000</v>
      </c>
      <c r="G17" s="99">
        <f t="shared" si="2"/>
        <v>1200000</v>
      </c>
    </row>
    <row r="18" ht="12.75" customHeight="1">
      <c r="C18" s="59" t="s">
        <v>139</v>
      </c>
      <c r="D18" s="98">
        <v>60000.0</v>
      </c>
      <c r="E18" s="98"/>
      <c r="F18" s="99">
        <f t="shared" si="1"/>
        <v>360000</v>
      </c>
      <c r="G18" s="99">
        <f t="shared" si="2"/>
        <v>720000</v>
      </c>
    </row>
    <row r="19" ht="12.75" customHeight="1">
      <c r="C19" s="59" t="s">
        <v>140</v>
      </c>
      <c r="D19" s="98">
        <v>50000.0</v>
      </c>
      <c r="E19" s="98"/>
      <c r="F19" s="99">
        <f t="shared" si="1"/>
        <v>300000</v>
      </c>
      <c r="G19" s="99">
        <f t="shared" si="2"/>
        <v>600000</v>
      </c>
    </row>
    <row r="20" ht="12.75" customHeight="1">
      <c r="C20" s="59" t="s">
        <v>141</v>
      </c>
      <c r="D20" s="98">
        <v>150000.0</v>
      </c>
      <c r="E20" s="98"/>
      <c r="F20" s="99">
        <f t="shared" si="1"/>
        <v>900000</v>
      </c>
      <c r="G20" s="99">
        <f t="shared" si="2"/>
        <v>1800000</v>
      </c>
    </row>
    <row r="21" ht="12.75" customHeight="1">
      <c r="C21" s="59" t="s">
        <v>142</v>
      </c>
      <c r="D21" s="98">
        <v>150000.0</v>
      </c>
      <c r="E21" s="98"/>
      <c r="F21" s="99">
        <f t="shared" si="1"/>
        <v>900000</v>
      </c>
      <c r="G21" s="99">
        <f t="shared" si="2"/>
        <v>1800000</v>
      </c>
    </row>
    <row r="22" ht="12.75" customHeight="1">
      <c r="C22" s="59" t="s">
        <v>143</v>
      </c>
      <c r="D22" s="98">
        <v>300000.0</v>
      </c>
      <c r="E22" s="98"/>
      <c r="F22" s="99">
        <f t="shared" si="1"/>
        <v>1800000</v>
      </c>
      <c r="G22" s="99">
        <f t="shared" si="2"/>
        <v>3600000</v>
      </c>
    </row>
    <row r="23" ht="12.75" customHeight="1">
      <c r="C23" s="59" t="s">
        <v>144</v>
      </c>
      <c r="D23" s="98">
        <v>10000.0</v>
      </c>
      <c r="E23" s="98"/>
      <c r="F23" s="99">
        <f t="shared" si="1"/>
        <v>60000</v>
      </c>
      <c r="G23" s="99">
        <f t="shared" si="2"/>
        <v>120000</v>
      </c>
    </row>
    <row r="24" ht="12.75" customHeight="1">
      <c r="C24" s="59" t="s">
        <v>145</v>
      </c>
      <c r="D24" s="98">
        <v>15000.0</v>
      </c>
      <c r="E24" s="98"/>
      <c r="F24" s="99">
        <f t="shared" si="1"/>
        <v>90000</v>
      </c>
      <c r="G24" s="99">
        <f t="shared" si="2"/>
        <v>180000</v>
      </c>
    </row>
    <row r="25" ht="12.75" customHeight="1">
      <c r="C25" s="59" t="s">
        <v>146</v>
      </c>
      <c r="D25" s="98">
        <v>0.0</v>
      </c>
      <c r="E25" s="98"/>
      <c r="F25" s="99">
        <f t="shared" si="1"/>
        <v>0</v>
      </c>
      <c r="G25" s="99">
        <f t="shared" si="2"/>
        <v>0</v>
      </c>
    </row>
    <row r="26" ht="12.75" customHeight="1">
      <c r="C26" s="59" t="s">
        <v>147</v>
      </c>
      <c r="D26" s="98">
        <v>200000.0</v>
      </c>
      <c r="E26" s="98"/>
      <c r="F26" s="99">
        <f t="shared" si="1"/>
        <v>1200000</v>
      </c>
      <c r="G26" s="99">
        <f t="shared" si="2"/>
        <v>2400000</v>
      </c>
    </row>
    <row r="27" ht="12.75" customHeight="1">
      <c r="C27" s="59" t="s">
        <v>148</v>
      </c>
      <c r="D27" s="98">
        <v>0.0</v>
      </c>
      <c r="E27" s="98"/>
      <c r="F27" s="99">
        <f t="shared" si="1"/>
        <v>0</v>
      </c>
      <c r="G27" s="99">
        <f t="shared" si="2"/>
        <v>0</v>
      </c>
    </row>
    <row r="28" ht="12.75" customHeight="1">
      <c r="C28" s="59" t="s">
        <v>149</v>
      </c>
      <c r="D28" s="99">
        <f>'Ressources Humaines'!G14</f>
        <v>340000</v>
      </c>
      <c r="E28" s="99"/>
      <c r="F28" s="99">
        <f t="shared" si="1"/>
        <v>2040000</v>
      </c>
      <c r="G28" s="99">
        <f>'Ressources Humaines'!G15</f>
        <v>4080000</v>
      </c>
    </row>
    <row r="29" ht="12.75" customHeight="1">
      <c r="C29" s="59" t="s">
        <v>150</v>
      </c>
      <c r="D29" s="99">
        <f>'Ressources Humaines'!H14</f>
        <v>36040</v>
      </c>
      <c r="E29" s="99"/>
      <c r="F29" s="99">
        <f t="shared" si="1"/>
        <v>216240</v>
      </c>
      <c r="G29" s="99">
        <f>'Ressources Humaines'!H15</f>
        <v>432480</v>
      </c>
    </row>
    <row r="30" ht="12.75" customHeight="1">
      <c r="C30" s="59" t="s">
        <v>151</v>
      </c>
      <c r="D30" s="98">
        <v>0.0</v>
      </c>
      <c r="E30" s="99">
        <f>emprunt!D11+emprunt!D12+emprunt!D13</f>
        <v>1050000</v>
      </c>
      <c r="F30" s="99">
        <f>SUM(emprunt!D11:D16)</f>
        <v>1050000</v>
      </c>
      <c r="G30" s="99">
        <f>SUM(emprunt!D11:D22)</f>
        <v>1050000</v>
      </c>
    </row>
    <row r="31" ht="12.75" customHeight="1">
      <c r="C31" s="59" t="s">
        <v>152</v>
      </c>
      <c r="D31" s="99">
        <v>0.0</v>
      </c>
      <c r="E31" s="99"/>
      <c r="F31" s="99">
        <f>D31*6</f>
        <v>0</v>
      </c>
      <c r="G31" s="99">
        <f t="shared" ref="G31:G32" si="3">F31*2</f>
        <v>0</v>
      </c>
    </row>
    <row r="32" ht="12.75" customHeight="1">
      <c r="C32" s="59"/>
      <c r="D32" s="99"/>
      <c r="E32" s="99"/>
      <c r="F32" s="99"/>
      <c r="G32" s="99">
        <f t="shared" si="3"/>
        <v>0</v>
      </c>
    </row>
    <row r="33" ht="12.75" customHeight="1">
      <c r="C33" s="61" t="s">
        <v>153</v>
      </c>
      <c r="D33" s="100">
        <f t="shared" ref="D33:G33" si="4">SUM(D6:D32)</f>
        <v>3555370</v>
      </c>
      <c r="E33" s="100">
        <f t="shared" si="4"/>
        <v>1050000</v>
      </c>
      <c r="F33" s="100">
        <f t="shared" si="4"/>
        <v>22382220</v>
      </c>
      <c r="G33" s="100">
        <f t="shared" si="4"/>
        <v>43714440</v>
      </c>
    </row>
    <row r="34" ht="12.75" customHeight="1">
      <c r="D34" s="80"/>
      <c r="E34" s="80"/>
      <c r="F34" s="80"/>
      <c r="G34" s="80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251969" footer="0.0" header="0.0" left="0.787401575" right="0.787401575" top="0.984251969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57.38"/>
    <col customWidth="1" min="3" max="3" width="18.63"/>
    <col customWidth="1" min="4" max="26" width="10.63"/>
  </cols>
  <sheetData>
    <row r="1" ht="12.75" customHeight="1"/>
    <row r="2" ht="12.75" customHeight="1"/>
    <row r="3" ht="12.75" customHeight="1">
      <c r="B3" s="101" t="s">
        <v>154</v>
      </c>
      <c r="C3" s="102"/>
    </row>
    <row r="4" ht="12.75" customHeight="1"/>
    <row r="5" ht="12.75" customHeight="1"/>
    <row r="6" ht="12.75" customHeight="1">
      <c r="A6" s="14"/>
      <c r="B6" s="103" t="s">
        <v>155</v>
      </c>
      <c r="C6" s="103" t="s">
        <v>27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18.75" customHeight="1">
      <c r="A7" s="14"/>
      <c r="B7" s="104"/>
      <c r="C7" s="10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2.75" customHeight="1">
      <c r="B8" s="81" t="s">
        <v>156</v>
      </c>
      <c r="C8" s="105">
        <f>C9</f>
        <v>114000</v>
      </c>
    </row>
    <row r="9" ht="12.75" customHeight="1">
      <c r="B9" s="59" t="s">
        <v>157</v>
      </c>
      <c r="C9" s="106">
        <f>Immobilisations!D19</f>
        <v>114000</v>
      </c>
    </row>
    <row r="10" ht="12.75" customHeight="1">
      <c r="B10" s="81" t="s">
        <v>99</v>
      </c>
      <c r="C10" s="107">
        <v>830000.0</v>
      </c>
    </row>
    <row r="11" ht="12.75" customHeight="1">
      <c r="B11" s="59" t="s">
        <v>158</v>
      </c>
      <c r="C11" s="108">
        <v>3000000.0</v>
      </c>
    </row>
    <row r="12" ht="12.75" customHeight="1">
      <c r="B12" s="59" t="s">
        <v>159</v>
      </c>
      <c r="C12" s="108">
        <v>200000.0</v>
      </c>
    </row>
    <row r="13" ht="12.75" customHeight="1">
      <c r="B13" s="59" t="s">
        <v>160</v>
      </c>
      <c r="C13" s="108">
        <v>500000.0</v>
      </c>
    </row>
    <row r="14" ht="12.75" customHeight="1">
      <c r="B14" s="81" t="s">
        <v>161</v>
      </c>
      <c r="C14" s="107">
        <f>C15+C16+C17</f>
        <v>3112360</v>
      </c>
    </row>
    <row r="15" ht="12.75" customHeight="1">
      <c r="B15" s="59" t="s">
        <v>162</v>
      </c>
      <c r="C15" s="106">
        <f>Immobilisations!F62</f>
        <v>892360</v>
      </c>
    </row>
    <row r="16" ht="12.75" customHeight="1">
      <c r="B16" s="59" t="s">
        <v>163</v>
      </c>
      <c r="C16" s="106">
        <f>Immobilisations!F75</f>
        <v>1110000</v>
      </c>
    </row>
    <row r="17" ht="12.75" customHeight="1">
      <c r="B17" s="59" t="s">
        <v>164</v>
      </c>
      <c r="C17" s="106">
        <f>Immobilisations!F75</f>
        <v>1110000</v>
      </c>
    </row>
    <row r="18" ht="12.75" customHeight="1">
      <c r="B18" s="81" t="s">
        <v>165</v>
      </c>
      <c r="C18" s="109">
        <f>C19</f>
        <v>182000</v>
      </c>
    </row>
    <row r="19" ht="12.75" customHeight="1">
      <c r="B19" s="59" t="s">
        <v>166</v>
      </c>
      <c r="C19" s="60">
        <f>Immobilisations!D104</f>
        <v>182000</v>
      </c>
    </row>
    <row r="20" ht="12.75" customHeight="1">
      <c r="B20" s="81" t="str">
        <f>'Dotation en FR'!B37</f>
        <v>Dotation trimestrielle ou semestrielle en Fonds de Roulement</v>
      </c>
      <c r="C20" s="109">
        <v>300000.0</v>
      </c>
    </row>
    <row r="21" ht="12.75" customHeight="1">
      <c r="B21" s="61"/>
      <c r="C21" s="62"/>
    </row>
    <row r="22" ht="12.75" customHeight="1">
      <c r="B22" s="61" t="s">
        <v>167</v>
      </c>
      <c r="C22" s="110">
        <f>SUM(C8:C20)</f>
        <v>11646720</v>
      </c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9.0" customHeight="1"/>
    <row r="31" ht="12.75" hidden="1" customHeight="1"/>
    <row r="32" ht="12.75" hidden="1" customHeight="1"/>
    <row r="33" ht="12.75" hidden="1" customHeight="1"/>
    <row r="34" ht="12.75" hidden="1" customHeight="1"/>
    <row r="35" ht="12.75" hidden="1" customHeight="1"/>
    <row r="36" ht="12.75" hidden="1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3:C3"/>
  </mergeCells>
  <printOptions/>
  <pageMargins bottom="0.984251969" footer="0.0" header="0.0" left="0.787401575" right="0.787401575" top="0.984251969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57.38"/>
    <col customWidth="1" min="3" max="3" width="18.13"/>
    <col customWidth="1" min="4" max="4" width="17.5"/>
    <col customWidth="1" min="5" max="5" width="17.13"/>
    <col customWidth="1" min="6" max="26" width="10.63"/>
  </cols>
  <sheetData>
    <row r="1" ht="12.75" customHeight="1"/>
    <row r="2" ht="12.75" customHeight="1">
      <c r="B2" s="111" t="s">
        <v>168</v>
      </c>
      <c r="C2" s="112"/>
      <c r="D2" s="112"/>
      <c r="E2" s="113"/>
    </row>
    <row r="3" ht="12.75" customHeight="1">
      <c r="B3" s="114"/>
      <c r="C3" s="115"/>
      <c r="D3" s="115"/>
      <c r="E3" s="115"/>
    </row>
    <row r="4" ht="12.75" customHeight="1">
      <c r="B4" s="114" t="s">
        <v>169</v>
      </c>
      <c r="C4" s="115" t="s">
        <v>91</v>
      </c>
      <c r="D4" s="115" t="s">
        <v>92</v>
      </c>
      <c r="E4" s="115" t="s">
        <v>93</v>
      </c>
    </row>
    <row r="5" ht="12.75" customHeight="1">
      <c r="B5" s="115" t="s">
        <v>170</v>
      </c>
      <c r="C5" s="116">
        <v>1.0</v>
      </c>
      <c r="D5" s="117">
        <v>1.0</v>
      </c>
      <c r="E5" s="116">
        <v>1.0</v>
      </c>
    </row>
    <row r="6" ht="12.75" customHeight="1">
      <c r="B6" s="114"/>
      <c r="C6" s="118"/>
      <c r="D6" s="118"/>
      <c r="E6" s="119"/>
    </row>
    <row r="7" ht="12.75" customHeight="1">
      <c r="B7" s="115" t="str">
        <f>'Charges dexploitation'!C6</f>
        <v>Achats de marchandises</v>
      </c>
      <c r="C7" s="115">
        <f t="shared" ref="C7:C30" si="1">$C$5*D7</f>
        <v>0</v>
      </c>
      <c r="D7" s="118" t="str">
        <f>'Charges dexploitation'!G6</f>
        <v/>
      </c>
      <c r="E7" s="115">
        <f t="shared" ref="E7:E30" si="2">D7*$E$5</f>
        <v>0</v>
      </c>
    </row>
    <row r="8" ht="12.75" customHeight="1">
      <c r="B8" s="115" t="str">
        <f>'Charges dexploitation'!C7</f>
        <v>Achats de matières premières et fournitures liées</v>
      </c>
      <c r="C8" s="115">
        <f t="shared" si="1"/>
        <v>10707960</v>
      </c>
      <c r="D8" s="119">
        <f>'Charges dexploitation'!G7</f>
        <v>10707960</v>
      </c>
      <c r="E8" s="115">
        <f t="shared" si="2"/>
        <v>10707960</v>
      </c>
    </row>
    <row r="9" ht="12.75" customHeight="1">
      <c r="B9" s="115" t="str">
        <f>'Charges dexploitation'!C8</f>
        <v>Achats de consommables</v>
      </c>
      <c r="C9" s="115">
        <f t="shared" si="1"/>
        <v>0</v>
      </c>
      <c r="D9" s="119">
        <f>'Charges dexploitation'!G8</f>
        <v>0</v>
      </c>
      <c r="E9" s="115">
        <f t="shared" si="2"/>
        <v>0</v>
      </c>
    </row>
    <row r="10" ht="12.75" customHeight="1">
      <c r="B10" s="115" t="str">
        <f>'Charges dexploitation'!C9</f>
        <v>Achats de combustibles</v>
      </c>
      <c r="C10" s="115">
        <f t="shared" si="1"/>
        <v>0</v>
      </c>
      <c r="D10" s="119">
        <f>'Charges dexploitation'!G9</f>
        <v>0</v>
      </c>
      <c r="E10" s="115">
        <f t="shared" si="2"/>
        <v>0</v>
      </c>
    </row>
    <row r="11" ht="12.75" customHeight="1">
      <c r="B11" s="115" t="str">
        <f>'Charges dexploitation'!C10</f>
        <v>Achats de produits d'entretien</v>
      </c>
      <c r="C11" s="115">
        <f t="shared" si="1"/>
        <v>840000</v>
      </c>
      <c r="D11" s="119">
        <f>'Charges dexploitation'!G10</f>
        <v>840000</v>
      </c>
      <c r="E11" s="115">
        <f t="shared" si="2"/>
        <v>840000</v>
      </c>
    </row>
    <row r="12" ht="12.75" customHeight="1">
      <c r="B12" s="115" t="str">
        <f>'Charges dexploitation'!C11</f>
        <v>Achats de fournitures de bureau</v>
      </c>
      <c r="C12" s="115">
        <f t="shared" si="1"/>
        <v>13320000</v>
      </c>
      <c r="D12" s="119">
        <f>'Charges dexploitation'!G11</f>
        <v>13320000</v>
      </c>
      <c r="E12" s="115">
        <f t="shared" si="2"/>
        <v>13320000</v>
      </c>
    </row>
    <row r="13" ht="12.75" customHeight="1">
      <c r="B13" s="115" t="str">
        <f>'Charges dexploitation'!C12</f>
        <v>Eau (en terme de facture à payer)</v>
      </c>
      <c r="C13" s="115">
        <f t="shared" si="1"/>
        <v>24000</v>
      </c>
      <c r="D13" s="119">
        <f>'Charges dexploitation'!G12</f>
        <v>24000</v>
      </c>
      <c r="E13" s="115">
        <f t="shared" si="2"/>
        <v>24000</v>
      </c>
    </row>
    <row r="14" ht="12.75" customHeight="1">
      <c r="B14" s="115" t="str">
        <f>'Charges dexploitation'!C13</f>
        <v>Electricité (en terme de facture à payer)</v>
      </c>
      <c r="C14" s="115">
        <f t="shared" si="1"/>
        <v>240000</v>
      </c>
      <c r="D14" s="119">
        <f>'Charges dexploitation'!G13</f>
        <v>240000</v>
      </c>
      <c r="E14" s="115">
        <f t="shared" si="2"/>
        <v>240000</v>
      </c>
    </row>
    <row r="15" ht="12.75" customHeight="1">
      <c r="B15" s="115" t="str">
        <f>'Charges dexploitation'!C14</f>
        <v>Achats de petits matériels et outillages</v>
      </c>
      <c r="C15" s="115">
        <f t="shared" si="1"/>
        <v>0</v>
      </c>
      <c r="D15" s="119">
        <f>'Charges dexploitation'!G14</f>
        <v>0</v>
      </c>
      <c r="E15" s="115">
        <f t="shared" si="2"/>
        <v>0</v>
      </c>
    </row>
    <row r="16" ht="12.75" customHeight="1">
      <c r="B16" s="115" t="str">
        <f>'Charges dexploitation'!C15</f>
        <v>Etudes et prestations de service</v>
      </c>
      <c r="C16" s="115">
        <f t="shared" si="1"/>
        <v>0</v>
      </c>
      <c r="D16" s="119">
        <f>'Charges dexploitation'!G15</f>
        <v>0</v>
      </c>
      <c r="E16" s="115">
        <f t="shared" si="2"/>
        <v>0</v>
      </c>
    </row>
    <row r="17" ht="12.75" customHeight="1">
      <c r="B17" s="115" t="str">
        <f>'Charges dexploitation'!C16</f>
        <v>Achats d'emballages</v>
      </c>
      <c r="C17" s="115">
        <f t="shared" si="1"/>
        <v>600000</v>
      </c>
      <c r="D17" s="119">
        <f>'Charges dexploitation'!G16</f>
        <v>600000</v>
      </c>
      <c r="E17" s="115">
        <f t="shared" si="2"/>
        <v>600000</v>
      </c>
    </row>
    <row r="18" ht="12.75" customHeight="1">
      <c r="B18" s="115" t="str">
        <f>'Charges dexploitation'!C17</f>
        <v>Frais de transport</v>
      </c>
      <c r="C18" s="115">
        <f t="shared" si="1"/>
        <v>1200000</v>
      </c>
      <c r="D18" s="119">
        <f>'Charges dexploitation'!G17</f>
        <v>1200000</v>
      </c>
      <c r="E18" s="115">
        <f t="shared" si="2"/>
        <v>1200000</v>
      </c>
    </row>
    <row r="19" ht="12.75" customHeight="1">
      <c r="B19" s="115" t="str">
        <f>'Charges dexploitation'!C18</f>
        <v>Sous-traitance</v>
      </c>
      <c r="C19" s="115">
        <f t="shared" si="1"/>
        <v>720000</v>
      </c>
      <c r="D19" s="119">
        <f>'Charges dexploitation'!G18</f>
        <v>720000</v>
      </c>
      <c r="E19" s="115">
        <f t="shared" si="2"/>
        <v>720000</v>
      </c>
    </row>
    <row r="20" ht="12.75" customHeight="1">
      <c r="B20" s="115" t="str">
        <f>'Charges dexploitation'!C19</f>
        <v>Loyer</v>
      </c>
      <c r="C20" s="115">
        <f t="shared" si="1"/>
        <v>600000</v>
      </c>
      <c r="D20" s="119">
        <f>'Charges dexploitation'!G19</f>
        <v>600000</v>
      </c>
      <c r="E20" s="115">
        <f t="shared" si="2"/>
        <v>600000</v>
      </c>
    </row>
    <row r="21" ht="12.75" customHeight="1">
      <c r="B21" s="115" t="str">
        <f>'Charges dexploitation'!C20</f>
        <v>Entretien, Réparations et Maintenance</v>
      </c>
      <c r="C21" s="115">
        <f t="shared" si="1"/>
        <v>1800000</v>
      </c>
      <c r="D21" s="119">
        <f>'Charges dexploitation'!G20</f>
        <v>1800000</v>
      </c>
      <c r="E21" s="115">
        <f t="shared" si="2"/>
        <v>1800000</v>
      </c>
    </row>
    <row r="22" ht="12.75" customHeight="1">
      <c r="B22" s="115" t="str">
        <f>'Charges dexploitation'!C21</f>
        <v>Primes d'assurance</v>
      </c>
      <c r="C22" s="115">
        <f t="shared" si="1"/>
        <v>1800000</v>
      </c>
      <c r="D22" s="119">
        <f>'Charges dexploitation'!G21</f>
        <v>1800000</v>
      </c>
      <c r="E22" s="115">
        <f t="shared" si="2"/>
        <v>1800000</v>
      </c>
    </row>
    <row r="23" ht="12.75" customHeight="1">
      <c r="B23" s="115" t="str">
        <f>'Charges dexploitation'!C22</f>
        <v>Publicité</v>
      </c>
      <c r="C23" s="115">
        <f t="shared" si="1"/>
        <v>3600000</v>
      </c>
      <c r="D23" s="119">
        <f>'Charges dexploitation'!G22</f>
        <v>3600000</v>
      </c>
      <c r="E23" s="115">
        <f t="shared" si="2"/>
        <v>3600000</v>
      </c>
    </row>
    <row r="24" ht="12.75" customHeight="1">
      <c r="B24" s="115" t="str">
        <f>'Charges dexploitation'!C23</f>
        <v>Téléphone (en terme de facture à payer)</v>
      </c>
      <c r="C24" s="115">
        <f t="shared" si="1"/>
        <v>120000</v>
      </c>
      <c r="D24" s="119">
        <f>'Charges dexploitation'!G23</f>
        <v>120000</v>
      </c>
      <c r="E24" s="115">
        <f t="shared" si="2"/>
        <v>120000</v>
      </c>
    </row>
    <row r="25" ht="12.75" customHeight="1">
      <c r="B25" s="115" t="str">
        <f>'Charges dexploitation'!C24</f>
        <v>Internet (en terme de facture à payer)</v>
      </c>
      <c r="C25" s="115">
        <f t="shared" si="1"/>
        <v>180000</v>
      </c>
      <c r="D25" s="119">
        <f>'Charges dexploitation'!G24</f>
        <v>180000</v>
      </c>
      <c r="E25" s="115">
        <f t="shared" si="2"/>
        <v>180000</v>
      </c>
    </row>
    <row r="26" ht="12.75" customHeight="1">
      <c r="B26" s="115" t="str">
        <f>'Charges dexploitation'!C25</f>
        <v>Commissions et frais assimilés</v>
      </c>
      <c r="C26" s="115">
        <f t="shared" si="1"/>
        <v>0</v>
      </c>
      <c r="D26" s="119">
        <f>'Charges dexploitation'!G25</f>
        <v>0</v>
      </c>
      <c r="E26" s="115">
        <f t="shared" si="2"/>
        <v>0</v>
      </c>
    </row>
    <row r="27" ht="12.75" customHeight="1">
      <c r="B27" s="115" t="str">
        <f>'Charges dexploitation'!C26</f>
        <v>Impôts (Patente et autres droits)</v>
      </c>
      <c r="C27" s="115">
        <f t="shared" si="1"/>
        <v>2400000</v>
      </c>
      <c r="D27" s="119">
        <f>'Charges dexploitation'!G26</f>
        <v>2400000</v>
      </c>
      <c r="E27" s="115">
        <f t="shared" si="2"/>
        <v>2400000</v>
      </c>
    </row>
    <row r="28" ht="12.75" customHeight="1">
      <c r="B28" s="115" t="str">
        <f>'Charges dexploitation'!C27</f>
        <v>Charges provisionnées d'exploitation</v>
      </c>
      <c r="C28" s="115">
        <f t="shared" si="1"/>
        <v>0</v>
      </c>
      <c r="D28" s="119">
        <f>'Charges dexploitation'!G27</f>
        <v>0</v>
      </c>
      <c r="E28" s="115">
        <f t="shared" si="2"/>
        <v>0</v>
      </c>
    </row>
    <row r="29" ht="12.75" customHeight="1">
      <c r="B29" s="115" t="str">
        <f>'Charges dexploitation'!C28</f>
        <v>Salaires bruts et autres rémunérations</v>
      </c>
      <c r="C29" s="115">
        <f t="shared" si="1"/>
        <v>4080000</v>
      </c>
      <c r="D29" s="119">
        <f>'Charges dexploitation'!G28</f>
        <v>4080000</v>
      </c>
      <c r="E29" s="115">
        <f t="shared" si="2"/>
        <v>4080000</v>
      </c>
    </row>
    <row r="30" ht="12.75" customHeight="1">
      <c r="B30" s="115" t="str">
        <f>'Charges dexploitation'!C29</f>
        <v>Charges sociales</v>
      </c>
      <c r="C30" s="115">
        <f t="shared" si="1"/>
        <v>432480</v>
      </c>
      <c r="D30" s="119">
        <f>'Charges dexploitation'!G29</f>
        <v>432480</v>
      </c>
      <c r="E30" s="115">
        <f t="shared" si="2"/>
        <v>432480</v>
      </c>
    </row>
    <row r="31" ht="12.75" customHeight="1">
      <c r="B31" s="115" t="str">
        <f>'Charges dexploitation'!C30</f>
        <v>Frais financiers</v>
      </c>
      <c r="C31" s="120">
        <f>SUM(emprunt!D11:D22)+SUM(emprunt!E11:E22)</f>
        <v>1123500</v>
      </c>
      <c r="D31" s="119">
        <f>SUM(emprunt!D23:D34)+SUM(emprunt!E23:E34)</f>
        <v>0</v>
      </c>
      <c r="E31" s="120">
        <f>SUM(emprunt!D35:D46)+SUM(emprunt!E35:E46)</f>
        <v>0</v>
      </c>
    </row>
    <row r="32" ht="12.75" customHeight="1">
      <c r="B32" s="115" t="str">
        <f>'Charges dexploitation'!C31</f>
        <v>Autres charges d'exploitation</v>
      </c>
      <c r="C32" s="115">
        <f>$C$5*D32</f>
        <v>0</v>
      </c>
      <c r="D32" s="119">
        <f>'Charges dexploitation'!G31</f>
        <v>0</v>
      </c>
      <c r="E32" s="115">
        <f>D32*$E$5</f>
        <v>0</v>
      </c>
    </row>
    <row r="33" ht="12.75" customHeight="1">
      <c r="B33" s="115"/>
      <c r="C33" s="115"/>
      <c r="D33" s="119"/>
      <c r="E33" s="115"/>
    </row>
    <row r="34" ht="12.75" customHeight="1">
      <c r="B34" s="115" t="s">
        <v>171</v>
      </c>
      <c r="C34" s="121">
        <v>120000.0</v>
      </c>
      <c r="D34" s="122">
        <v>100000.0</v>
      </c>
      <c r="E34" s="115">
        <f t="shared" ref="E34:E35" si="3">D34*$E$5</f>
        <v>100000</v>
      </c>
    </row>
    <row r="35" ht="12.75" customHeight="1">
      <c r="B35" s="115" t="s">
        <v>172</v>
      </c>
      <c r="C35" s="121">
        <v>2500000.0</v>
      </c>
      <c r="D35" s="119">
        <f>C35*1.1</f>
        <v>2750000</v>
      </c>
      <c r="E35" s="115">
        <f t="shared" si="3"/>
        <v>2750000</v>
      </c>
    </row>
    <row r="36" ht="12.75" customHeight="1">
      <c r="B36" s="115" t="s">
        <v>173</v>
      </c>
      <c r="C36" s="119">
        <f>SUM(C7:C34)</f>
        <v>43907940</v>
      </c>
      <c r="D36" s="119">
        <f t="shared" ref="D36:E36" si="4">SUM(D9:D34)</f>
        <v>32056480</v>
      </c>
      <c r="E36" s="119">
        <f t="shared" si="4"/>
        <v>32056480</v>
      </c>
    </row>
    <row r="37" ht="12.75" customHeight="1">
      <c r="B37" s="115" t="s">
        <v>174</v>
      </c>
      <c r="C37" s="119">
        <f t="shared" ref="C37:D37" si="5">C36-C35</f>
        <v>41407940</v>
      </c>
      <c r="D37" s="119">
        <f t="shared" si="5"/>
        <v>29306480</v>
      </c>
      <c r="E37" s="119">
        <f>D37*$E$5</f>
        <v>29306480</v>
      </c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2:E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57.38"/>
    <col customWidth="1" min="3" max="3" width="16.5"/>
    <col customWidth="1" min="4" max="26" width="10.63"/>
  </cols>
  <sheetData>
    <row r="1" ht="12.75" customHeight="1"/>
    <row r="2" ht="12.75" customHeight="1">
      <c r="B2" s="123" t="s">
        <v>175</v>
      </c>
      <c r="C2" s="3"/>
    </row>
    <row r="3" ht="12.75" customHeight="1">
      <c r="B3" s="92"/>
      <c r="C3" s="92"/>
    </row>
    <row r="4" ht="12.75" customHeight="1">
      <c r="B4" s="59"/>
      <c r="C4" s="65" t="s">
        <v>176</v>
      </c>
    </row>
    <row r="5" ht="12.75" customHeight="1">
      <c r="A5" s="124"/>
      <c r="B5" s="103" t="s">
        <v>177</v>
      </c>
      <c r="C5" s="103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</row>
    <row r="6" ht="12.75" customHeight="1">
      <c r="B6" s="59"/>
      <c r="C6" s="99"/>
    </row>
    <row r="7" ht="12.75" customHeight="1">
      <c r="B7" s="59" t="s">
        <v>98</v>
      </c>
      <c r="C7" s="60">
        <f>'Coût du prjet'!C9</f>
        <v>114000</v>
      </c>
    </row>
    <row r="8" ht="12.75" customHeight="1">
      <c r="B8" s="59"/>
      <c r="C8" s="60"/>
    </row>
    <row r="9" ht="12.75" customHeight="1">
      <c r="B9" s="59" t="s">
        <v>178</v>
      </c>
      <c r="C9" s="60">
        <f>'Coût du prjet'!C10</f>
        <v>830000</v>
      </c>
    </row>
    <row r="10" ht="12.75" customHeight="1">
      <c r="B10" s="59"/>
      <c r="C10" s="60"/>
    </row>
    <row r="11" ht="12.75" customHeight="1">
      <c r="B11" s="59" t="s">
        <v>179</v>
      </c>
      <c r="C11" s="60">
        <f>'Coût du prjet'!C15</f>
        <v>892360</v>
      </c>
    </row>
    <row r="12" ht="12.75" customHeight="1">
      <c r="B12" s="59"/>
      <c r="C12" s="60"/>
    </row>
    <row r="13" ht="12.75" customHeight="1">
      <c r="B13" s="59" t="s">
        <v>180</v>
      </c>
      <c r="C13" s="60">
        <f>'Coût du prjet'!C16</f>
        <v>1110000</v>
      </c>
    </row>
    <row r="14" ht="12.75" customHeight="1">
      <c r="B14" s="59"/>
      <c r="C14" s="60"/>
    </row>
    <row r="15" ht="12.75" customHeight="1">
      <c r="B15" s="59" t="s">
        <v>181</v>
      </c>
      <c r="C15" s="60">
        <f>'Coût du prjet'!C17</f>
        <v>1110000</v>
      </c>
    </row>
    <row r="16" ht="12.75" customHeight="1">
      <c r="B16" s="59"/>
      <c r="C16" s="60"/>
    </row>
    <row r="17" ht="12.75" customHeight="1">
      <c r="B17" s="59" t="s">
        <v>182</v>
      </c>
      <c r="C17" s="60">
        <f>'Coût du prjet'!C19</f>
        <v>182000</v>
      </c>
    </row>
    <row r="18" ht="12.75" customHeight="1">
      <c r="B18" s="59"/>
      <c r="C18" s="60"/>
    </row>
    <row r="19" ht="12.75" customHeight="1">
      <c r="B19" s="59" t="str">
        <f>'Coût du prjet'!B20</f>
        <v>Dotation trimestrielle ou semestrielle en Fonds de Roulement</v>
      </c>
      <c r="C19" s="106">
        <f>+'Coût du prjet'!C20</f>
        <v>300000</v>
      </c>
    </row>
    <row r="20" ht="12.75" customHeight="1">
      <c r="B20" s="125"/>
      <c r="C20" s="126"/>
    </row>
    <row r="21" ht="12.75" customHeight="1">
      <c r="B21" s="127" t="s">
        <v>183</v>
      </c>
      <c r="C21" s="128">
        <f>SUM(C6:C20)</f>
        <v>4538360</v>
      </c>
    </row>
    <row r="22" ht="12.75" customHeight="1">
      <c r="B22" s="129"/>
      <c r="C22" s="130"/>
    </row>
    <row r="23" ht="12.75" customHeight="1">
      <c r="B23" s="131"/>
      <c r="C23" s="132"/>
    </row>
    <row r="24" ht="12.75" customHeight="1">
      <c r="A24" s="124"/>
      <c r="B24" s="103" t="s">
        <v>184</v>
      </c>
      <c r="C24" s="133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</row>
    <row r="25" ht="12.75" customHeight="1">
      <c r="B25" s="59"/>
      <c r="C25" s="60"/>
    </row>
    <row r="26" ht="12.75" customHeight="1">
      <c r="B26" s="81" t="s">
        <v>185</v>
      </c>
      <c r="C26" s="107">
        <f>C27+C28+C29</f>
        <v>55000000</v>
      </c>
    </row>
    <row r="27" ht="12.75" customHeight="1">
      <c r="B27" s="59" t="s">
        <v>186</v>
      </c>
      <c r="C27" s="134">
        <v>2.5E7</v>
      </c>
    </row>
    <row r="28" ht="12.75" customHeight="1">
      <c r="B28" s="59" t="s">
        <v>187</v>
      </c>
      <c r="C28" s="134">
        <v>2.0E7</v>
      </c>
    </row>
    <row r="29" ht="12.75" customHeight="1">
      <c r="B29" s="59" t="s">
        <v>188</v>
      </c>
      <c r="C29" s="134">
        <v>1.0E7</v>
      </c>
    </row>
    <row r="30" ht="12.75" customHeight="1">
      <c r="B30" s="59"/>
      <c r="C30" s="60"/>
    </row>
    <row r="31" ht="12.75" customHeight="1">
      <c r="B31" s="59"/>
      <c r="C31" s="60"/>
    </row>
    <row r="32" ht="12.75" customHeight="1">
      <c r="B32" s="81" t="s">
        <v>189</v>
      </c>
      <c r="C32" s="107"/>
    </row>
    <row r="33" ht="12.75" customHeight="1">
      <c r="B33" s="125"/>
      <c r="C33" s="126"/>
    </row>
    <row r="34" ht="12.75" customHeight="1">
      <c r="B34" s="127" t="s">
        <v>190</v>
      </c>
      <c r="C34" s="128">
        <f>C26+C32</f>
        <v>55000000</v>
      </c>
    </row>
    <row r="35" ht="12.75" customHeight="1">
      <c r="B35" s="129"/>
      <c r="C35" s="130"/>
    </row>
    <row r="36" ht="12.75" customHeight="1">
      <c r="B36" s="131"/>
      <c r="C36" s="132"/>
    </row>
    <row r="37" ht="12.75" customHeight="1">
      <c r="B37" s="81" t="s">
        <v>191</v>
      </c>
      <c r="C37" s="109">
        <f>C34-C21</f>
        <v>50461640</v>
      </c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B2:C2"/>
    <mergeCell ref="B22:C23"/>
    <mergeCell ref="B35:C36"/>
  </mergeCells>
  <printOptions/>
  <pageMargins bottom="0.984251969" footer="0.0" header="0.0" left="0.787401575" right="0.787401575" top="0.984251969"/>
  <pageSetup paperSize="9" scale="91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0.38"/>
    <col customWidth="1" min="3" max="3" width="22.63"/>
    <col customWidth="1" min="4" max="5" width="20.88"/>
    <col customWidth="1" min="6" max="6" width="28.63"/>
    <col customWidth="1" min="7" max="7" width="22.0"/>
    <col customWidth="1" min="8" max="8" width="20.5"/>
    <col customWidth="1" min="9" max="26" width="10.63"/>
  </cols>
  <sheetData>
    <row r="1" ht="12.75" customHeight="1">
      <c r="C1" s="1" t="s">
        <v>192</v>
      </c>
      <c r="D1" s="2"/>
      <c r="E1" s="2"/>
      <c r="F1" s="3"/>
    </row>
    <row r="2" ht="12.75" customHeight="1">
      <c r="C2" s="135"/>
      <c r="D2" s="135"/>
      <c r="E2" s="135"/>
      <c r="F2" s="135"/>
    </row>
    <row r="3" ht="12.75" customHeight="1">
      <c r="B3" s="136" t="s">
        <v>193</v>
      </c>
      <c r="D3" s="135"/>
      <c r="E3" s="135"/>
      <c r="F3" s="137" t="str">
        <f>'plan de finan initi'!C32</f>
        <v/>
      </c>
    </row>
    <row r="4" ht="12.75" customHeight="1">
      <c r="B4" s="136" t="s">
        <v>194</v>
      </c>
      <c r="D4" s="136" t="s">
        <v>195</v>
      </c>
      <c r="F4" s="92" t="s">
        <v>196</v>
      </c>
    </row>
    <row r="5" ht="12.75" customHeight="1">
      <c r="B5" s="136" t="s">
        <v>197</v>
      </c>
      <c r="D5" s="136" t="s">
        <v>198</v>
      </c>
      <c r="F5" s="138">
        <v>0.05</v>
      </c>
    </row>
    <row r="6" ht="12.75" customHeight="1">
      <c r="B6" s="136" t="s">
        <v>199</v>
      </c>
      <c r="D6" s="136" t="s">
        <v>200</v>
      </c>
      <c r="F6" s="139">
        <f>F5/12</f>
        <v>0.004166666667</v>
      </c>
    </row>
    <row r="7" ht="12.75" customHeight="1">
      <c r="D7" s="136" t="s">
        <v>201</v>
      </c>
      <c r="F7" s="138">
        <v>0.07</v>
      </c>
    </row>
    <row r="8" ht="12.75" customHeight="1"/>
    <row r="9" ht="12.75" customHeight="1"/>
    <row r="10" ht="12.75" customHeight="1">
      <c r="A10" s="14"/>
      <c r="B10" s="107" t="s">
        <v>202</v>
      </c>
      <c r="C10" s="107" t="s">
        <v>203</v>
      </c>
      <c r="D10" s="107" t="s">
        <v>204</v>
      </c>
      <c r="E10" s="105" t="s">
        <v>205</v>
      </c>
      <c r="F10" s="107" t="s">
        <v>206</v>
      </c>
      <c r="G10" s="107" t="s">
        <v>207</v>
      </c>
      <c r="H10" s="107" t="s">
        <v>208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2.75" customHeight="1">
      <c r="B11" s="60">
        <v>1.0</v>
      </c>
      <c r="C11" s="108">
        <v>134.0</v>
      </c>
      <c r="D11" s="140">
        <v>500000.0</v>
      </c>
      <c r="E11" s="60">
        <f t="shared" ref="E11:E13" si="1">D11*$F$7</f>
        <v>35000</v>
      </c>
      <c r="F11" s="60">
        <f t="shared" ref="F11:F13" si="2">C11/36</f>
        <v>3.722222222</v>
      </c>
      <c r="G11" s="60">
        <f t="shared" ref="G11:G13" si="3">SUM(D11:F11)</f>
        <v>535003.7222</v>
      </c>
      <c r="H11" s="60">
        <f t="shared" ref="H11:H13" si="4">C11-F11</f>
        <v>130.2777778</v>
      </c>
    </row>
    <row r="12" ht="12.75" customHeight="1">
      <c r="B12" s="60">
        <v>2.0</v>
      </c>
      <c r="C12" s="134">
        <v>34.0</v>
      </c>
      <c r="D12" s="140">
        <v>350000.0</v>
      </c>
      <c r="E12" s="60">
        <f t="shared" si="1"/>
        <v>24500</v>
      </c>
      <c r="F12" s="60">
        <f t="shared" si="2"/>
        <v>0.9444444444</v>
      </c>
      <c r="G12" s="60">
        <f t="shared" si="3"/>
        <v>374500.9444</v>
      </c>
      <c r="H12" s="60">
        <f t="shared" si="4"/>
        <v>33.05555556</v>
      </c>
    </row>
    <row r="13" ht="12.75" customHeight="1">
      <c r="B13" s="60">
        <v>3.0</v>
      </c>
      <c r="C13" s="134">
        <v>260.0</v>
      </c>
      <c r="D13" s="140">
        <v>200000.0</v>
      </c>
      <c r="E13" s="60">
        <f t="shared" si="1"/>
        <v>14000</v>
      </c>
      <c r="F13" s="60">
        <f t="shared" si="2"/>
        <v>7.222222222</v>
      </c>
      <c r="G13" s="60">
        <f t="shared" si="3"/>
        <v>214007.2222</v>
      </c>
      <c r="H13" s="60">
        <f t="shared" si="4"/>
        <v>252.7777778</v>
      </c>
    </row>
    <row r="14" ht="12.75" customHeight="1">
      <c r="B14" s="60"/>
      <c r="C14" s="60"/>
      <c r="D14" s="59"/>
      <c r="E14" s="60"/>
      <c r="F14" s="60"/>
      <c r="G14" s="60"/>
      <c r="H14" s="60"/>
    </row>
    <row r="15" ht="12.75" customHeight="1">
      <c r="B15" s="60"/>
      <c r="C15" s="60"/>
      <c r="D15" s="59"/>
      <c r="E15" s="60"/>
      <c r="F15" s="60" t="str">
        <f>F14</f>
        <v/>
      </c>
      <c r="G15" s="60"/>
      <c r="H15" s="60"/>
    </row>
    <row r="16" ht="12.75" customHeight="1">
      <c r="B16" s="60"/>
      <c r="C16" s="60"/>
      <c r="D16" s="59"/>
      <c r="E16" s="60"/>
      <c r="F16" s="60"/>
      <c r="G16" s="60"/>
      <c r="H16" s="60"/>
    </row>
    <row r="17" ht="12.75" customHeight="1">
      <c r="B17" s="60"/>
      <c r="C17" s="60"/>
      <c r="D17" s="59"/>
      <c r="E17" s="60"/>
      <c r="F17" s="60"/>
      <c r="G17" s="60"/>
      <c r="H17" s="60"/>
    </row>
    <row r="18" ht="12.75" customHeight="1">
      <c r="B18" s="60"/>
      <c r="C18" s="60"/>
      <c r="D18" s="59"/>
      <c r="E18" s="60"/>
      <c r="F18" s="60"/>
      <c r="G18" s="60"/>
      <c r="H18" s="60"/>
    </row>
    <row r="19" ht="12.75" customHeight="1">
      <c r="B19" s="60"/>
      <c r="C19" s="60"/>
      <c r="D19" s="59"/>
      <c r="E19" s="60"/>
      <c r="F19" s="60"/>
      <c r="G19" s="60"/>
      <c r="H19" s="60"/>
    </row>
    <row r="20" ht="12.75" customHeight="1">
      <c r="B20" s="60"/>
      <c r="C20" s="60"/>
      <c r="D20" s="59"/>
      <c r="E20" s="60"/>
      <c r="F20" s="60"/>
      <c r="G20" s="60"/>
      <c r="H20" s="60"/>
    </row>
    <row r="21" ht="12.75" customHeight="1">
      <c r="B21" s="60"/>
      <c r="C21" s="60"/>
      <c r="D21" s="59"/>
      <c r="E21" s="60"/>
      <c r="F21" s="60"/>
      <c r="G21" s="60"/>
      <c r="H21" s="60"/>
    </row>
    <row r="22" ht="12.75" customHeight="1">
      <c r="B22" s="60"/>
      <c r="C22" s="60"/>
      <c r="D22" s="59"/>
      <c r="E22" s="60"/>
      <c r="F22" s="60"/>
      <c r="G22" s="60"/>
      <c r="H22" s="60"/>
    </row>
    <row r="23" ht="12.75" customHeight="1">
      <c r="B23" s="60"/>
      <c r="C23" s="60"/>
      <c r="D23" s="59"/>
      <c r="E23" s="60"/>
      <c r="F23" s="60"/>
      <c r="G23" s="60"/>
      <c r="H23" s="60"/>
    </row>
    <row r="24" ht="12.75" customHeight="1">
      <c r="B24" s="60"/>
      <c r="C24" s="60"/>
      <c r="D24" s="59"/>
      <c r="E24" s="60"/>
      <c r="F24" s="60"/>
      <c r="G24" s="60"/>
      <c r="H24" s="60"/>
    </row>
    <row r="25" ht="12.75" customHeight="1">
      <c r="B25" s="60"/>
      <c r="C25" s="60"/>
      <c r="D25" s="59"/>
      <c r="E25" s="60"/>
      <c r="F25" s="60"/>
      <c r="G25" s="60"/>
      <c r="H25" s="60"/>
    </row>
    <row r="26" ht="12.75" customHeight="1">
      <c r="B26" s="60"/>
      <c r="C26" s="60"/>
      <c r="D26" s="59"/>
      <c r="E26" s="60"/>
      <c r="F26" s="60"/>
      <c r="G26" s="60"/>
      <c r="H26" s="60"/>
    </row>
    <row r="27" ht="12.75" customHeight="1">
      <c r="B27" s="60"/>
      <c r="C27" s="60"/>
      <c r="D27" s="59"/>
      <c r="E27" s="60"/>
      <c r="F27" s="60"/>
      <c r="G27" s="60"/>
      <c r="H27" s="60"/>
    </row>
    <row r="28" ht="12.75" customHeight="1">
      <c r="B28" s="60"/>
      <c r="C28" s="60"/>
      <c r="D28" s="59"/>
      <c r="E28" s="60"/>
      <c r="F28" s="60"/>
      <c r="G28" s="60"/>
      <c r="H28" s="60"/>
    </row>
    <row r="29" ht="12.75" customHeight="1">
      <c r="B29" s="60"/>
      <c r="C29" s="60"/>
      <c r="D29" s="59"/>
      <c r="E29" s="60"/>
      <c r="F29" s="60"/>
      <c r="G29" s="60"/>
      <c r="H29" s="60"/>
    </row>
    <row r="30" ht="12.75" customHeight="1">
      <c r="B30" s="60"/>
      <c r="C30" s="60"/>
      <c r="D30" s="59"/>
      <c r="E30" s="60"/>
      <c r="F30" s="60"/>
      <c r="G30" s="60"/>
      <c r="H30" s="60"/>
    </row>
    <row r="31" ht="12.75" customHeight="1">
      <c r="B31" s="60"/>
      <c r="C31" s="60"/>
      <c r="D31" s="59"/>
      <c r="E31" s="60"/>
      <c r="F31" s="60"/>
      <c r="G31" s="60"/>
      <c r="H31" s="60"/>
    </row>
    <row r="32" ht="12.75" customHeight="1">
      <c r="B32" s="60"/>
      <c r="C32" s="60"/>
      <c r="D32" s="59"/>
      <c r="E32" s="60"/>
      <c r="F32" s="60"/>
      <c r="G32" s="60"/>
      <c r="H32" s="60"/>
    </row>
    <row r="33" ht="12.75" customHeight="1">
      <c r="B33" s="60"/>
      <c r="C33" s="60"/>
      <c r="D33" s="59"/>
      <c r="E33" s="60"/>
      <c r="F33" s="60"/>
      <c r="G33" s="60"/>
      <c r="H33" s="60"/>
    </row>
    <row r="34" ht="12.75" customHeight="1">
      <c r="B34" s="60"/>
      <c r="C34" s="60"/>
      <c r="D34" s="59"/>
      <c r="E34" s="60"/>
      <c r="F34" s="60"/>
      <c r="G34" s="60"/>
      <c r="H34" s="60"/>
    </row>
    <row r="35" ht="12.75" customHeight="1">
      <c r="B35" s="60"/>
      <c r="C35" s="60"/>
      <c r="D35" s="59"/>
      <c r="E35" s="60"/>
      <c r="F35" s="60"/>
      <c r="G35" s="60"/>
      <c r="H35" s="60"/>
    </row>
    <row r="36" ht="12.75" customHeight="1">
      <c r="B36" s="60"/>
      <c r="C36" s="60"/>
      <c r="D36" s="59"/>
      <c r="E36" s="60"/>
      <c r="F36" s="60"/>
      <c r="G36" s="60"/>
      <c r="H36" s="60"/>
    </row>
    <row r="37" ht="12.75" customHeight="1">
      <c r="B37" s="60"/>
      <c r="C37" s="60"/>
      <c r="D37" s="59"/>
      <c r="E37" s="60"/>
      <c r="F37" s="60"/>
      <c r="G37" s="60"/>
      <c r="H37" s="60"/>
    </row>
    <row r="38" ht="12.75" customHeight="1">
      <c r="B38" s="60"/>
      <c r="C38" s="60"/>
      <c r="D38" s="59"/>
      <c r="E38" s="60"/>
      <c r="F38" s="60"/>
      <c r="G38" s="60"/>
      <c r="H38" s="60"/>
    </row>
    <row r="39" ht="12.75" customHeight="1">
      <c r="B39" s="60"/>
      <c r="C39" s="60"/>
      <c r="D39" s="59"/>
      <c r="E39" s="60"/>
      <c r="F39" s="60"/>
      <c r="G39" s="60"/>
      <c r="H39" s="60"/>
    </row>
    <row r="40" ht="12.75" customHeight="1">
      <c r="B40" s="60"/>
      <c r="C40" s="60"/>
      <c r="D40" s="59"/>
      <c r="E40" s="60"/>
      <c r="F40" s="60"/>
      <c r="G40" s="60"/>
      <c r="H40" s="60"/>
    </row>
    <row r="41" ht="12.75" customHeight="1">
      <c r="B41" s="60"/>
      <c r="C41" s="60"/>
      <c r="D41" s="59"/>
      <c r="E41" s="60"/>
      <c r="F41" s="60"/>
      <c r="G41" s="60"/>
      <c r="H41" s="60"/>
    </row>
    <row r="42" ht="12.75" customHeight="1">
      <c r="B42" s="60"/>
      <c r="C42" s="60"/>
      <c r="D42" s="59"/>
      <c r="E42" s="60"/>
      <c r="F42" s="60"/>
      <c r="G42" s="60"/>
      <c r="H42" s="60"/>
    </row>
    <row r="43" ht="12.75" customHeight="1">
      <c r="B43" s="60"/>
      <c r="C43" s="60"/>
      <c r="D43" s="59"/>
      <c r="E43" s="60"/>
      <c r="F43" s="60"/>
      <c r="G43" s="60"/>
      <c r="H43" s="60"/>
    </row>
    <row r="44" ht="12.75" customHeight="1">
      <c r="B44" s="60"/>
      <c r="C44" s="60"/>
      <c r="D44" s="59"/>
      <c r="E44" s="60"/>
      <c r="F44" s="60"/>
      <c r="G44" s="60"/>
      <c r="H44" s="60"/>
    </row>
    <row r="45" ht="12.75" customHeight="1">
      <c r="B45" s="60"/>
      <c r="C45" s="60"/>
      <c r="D45" s="59"/>
      <c r="E45" s="60"/>
      <c r="F45" s="60"/>
      <c r="G45" s="60"/>
      <c r="H45" s="60"/>
    </row>
    <row r="46" ht="12.75" customHeight="1">
      <c r="B46" s="60"/>
      <c r="C46" s="60"/>
      <c r="D46" s="59"/>
      <c r="E46" s="60"/>
      <c r="F46" s="60"/>
      <c r="G46" s="60"/>
      <c r="H46" s="60"/>
    </row>
    <row r="47" ht="12.75" customHeight="1">
      <c r="B47" s="62" t="s">
        <v>209</v>
      </c>
      <c r="C47" s="62">
        <f t="shared" ref="C47:G47" si="5">SUM(C11:C46)</f>
        <v>428</v>
      </c>
      <c r="D47" s="62">
        <f t="shared" si="5"/>
        <v>1050000</v>
      </c>
      <c r="E47" s="62">
        <f t="shared" si="5"/>
        <v>73500</v>
      </c>
      <c r="F47" s="62">
        <f t="shared" si="5"/>
        <v>11.88888889</v>
      </c>
      <c r="G47" s="62">
        <f t="shared" si="5"/>
        <v>1123511.889</v>
      </c>
      <c r="H47" s="62"/>
    </row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D6:E6"/>
    <mergeCell ref="D7:E7"/>
    <mergeCell ref="C1:F1"/>
    <mergeCell ref="B3:C3"/>
    <mergeCell ref="B4:C4"/>
    <mergeCell ref="D4:E4"/>
    <mergeCell ref="B5:C5"/>
    <mergeCell ref="D5:E5"/>
    <mergeCell ref="B6:C6"/>
  </mergeCells>
  <printOptions/>
  <pageMargins bottom="0.984251969" footer="0.0" header="0.0" left="0.787401575" right="0.787401575" top="0.984251969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0.63"/>
    <col customWidth="1" min="3" max="3" width="45.5"/>
    <col customWidth="1" min="4" max="4" width="24.63"/>
    <col customWidth="1" min="5" max="5" width="12.13"/>
    <col customWidth="1" min="6" max="6" width="24.88"/>
    <col customWidth="1" min="7" max="7" width="28.88"/>
    <col customWidth="1" min="8" max="26" width="10.63"/>
  </cols>
  <sheetData>
    <row r="1" ht="12.75" customHeight="1"/>
    <row r="2" ht="12.75" customHeight="1">
      <c r="C2" s="141" t="s">
        <v>210</v>
      </c>
      <c r="D2" s="142"/>
      <c r="E2" s="142"/>
      <c r="F2" s="142"/>
      <c r="G2" s="102"/>
    </row>
    <row r="3" ht="12.75" customHeight="1">
      <c r="C3" s="59"/>
      <c r="D3" s="59"/>
      <c r="E3" s="59"/>
      <c r="F3" s="59"/>
      <c r="G3" s="59"/>
    </row>
    <row r="4" ht="12.75" customHeight="1">
      <c r="C4" s="81"/>
      <c r="D4" s="81" t="s">
        <v>211</v>
      </c>
      <c r="E4" s="81" t="s">
        <v>212</v>
      </c>
      <c r="F4" s="81" t="s">
        <v>213</v>
      </c>
      <c r="G4" s="81" t="s">
        <v>214</v>
      </c>
    </row>
    <row r="5" ht="12.75" customHeight="1">
      <c r="C5" s="81" t="s">
        <v>215</v>
      </c>
      <c r="D5" s="81"/>
      <c r="E5" s="81"/>
      <c r="F5" s="81"/>
      <c r="G5" s="81"/>
    </row>
    <row r="6" ht="12.75" customHeight="1">
      <c r="C6" s="140" t="s">
        <v>216</v>
      </c>
      <c r="D6" s="60">
        <v>100.0</v>
      </c>
      <c r="E6" s="60">
        <v>2500.0</v>
      </c>
      <c r="F6" s="60">
        <f t="shared" ref="F6:F10" si="1">PRODUCT(D6,E6)</f>
        <v>250000</v>
      </c>
      <c r="G6" s="60">
        <f t="shared" ref="G6:G10" si="2">PRODUCT(F6,9)</f>
        <v>2250000</v>
      </c>
    </row>
    <row r="7" ht="12.75" customHeight="1">
      <c r="C7" s="140" t="s">
        <v>217</v>
      </c>
      <c r="D7" s="60">
        <v>50.0</v>
      </c>
      <c r="E7" s="60">
        <v>10000.0</v>
      </c>
      <c r="F7" s="60">
        <f t="shared" si="1"/>
        <v>500000</v>
      </c>
      <c r="G7" s="60">
        <f t="shared" si="2"/>
        <v>4500000</v>
      </c>
    </row>
    <row r="8" ht="12.75" customHeight="1">
      <c r="C8" s="140" t="s">
        <v>218</v>
      </c>
      <c r="D8" s="60">
        <v>50.0</v>
      </c>
      <c r="E8" s="60">
        <v>30000.0</v>
      </c>
      <c r="F8" s="60">
        <f t="shared" si="1"/>
        <v>1500000</v>
      </c>
      <c r="G8" s="60">
        <f t="shared" si="2"/>
        <v>13500000</v>
      </c>
    </row>
    <row r="9" ht="12.75" customHeight="1">
      <c r="C9" s="140" t="s">
        <v>219</v>
      </c>
      <c r="D9" s="60">
        <v>50.0</v>
      </c>
      <c r="E9" s="60">
        <v>50000.0</v>
      </c>
      <c r="F9" s="60">
        <f t="shared" si="1"/>
        <v>2500000</v>
      </c>
      <c r="G9" s="60">
        <f t="shared" si="2"/>
        <v>22500000</v>
      </c>
    </row>
    <row r="10" ht="12.75" customHeight="1">
      <c r="C10" s="59" t="s">
        <v>220</v>
      </c>
      <c r="D10" s="60">
        <v>100.0</v>
      </c>
      <c r="E10" s="60">
        <v>50000.0</v>
      </c>
      <c r="F10" s="60">
        <f t="shared" si="1"/>
        <v>5000000</v>
      </c>
      <c r="G10" s="60">
        <f t="shared" si="2"/>
        <v>45000000</v>
      </c>
    </row>
    <row r="11" ht="12.75" customHeight="1">
      <c r="C11" s="59"/>
      <c r="D11" s="60"/>
      <c r="E11" s="60"/>
      <c r="F11" s="60"/>
      <c r="G11" s="60"/>
    </row>
    <row r="12" ht="12.75" customHeight="1">
      <c r="C12" s="61" t="s">
        <v>221</v>
      </c>
      <c r="D12" s="62"/>
      <c r="E12" s="62"/>
      <c r="F12" s="62">
        <f t="shared" ref="F12:G12" si="3">SUM(F6:F11)</f>
        <v>9750000</v>
      </c>
      <c r="G12" s="62">
        <f t="shared" si="3"/>
        <v>87750000</v>
      </c>
    </row>
    <row r="13" ht="12.75" customHeight="1">
      <c r="C13" s="61"/>
      <c r="D13" s="62"/>
      <c r="E13" s="62"/>
      <c r="F13" s="62"/>
      <c r="G13" s="62"/>
    </row>
    <row r="14" ht="12.75" customHeight="1">
      <c r="C14" s="81" t="s">
        <v>222</v>
      </c>
      <c r="D14" s="107"/>
      <c r="E14" s="107"/>
      <c r="F14" s="107"/>
      <c r="G14" s="107"/>
    </row>
    <row r="15" ht="12.75" customHeight="1">
      <c r="C15" s="140" t="s">
        <v>216</v>
      </c>
      <c r="D15" s="134">
        <v>90.0</v>
      </c>
      <c r="E15" s="134">
        <v>2500.0</v>
      </c>
      <c r="F15" s="60">
        <f t="shared" ref="F15:F19" si="4">PRODUCT(D15,E15)</f>
        <v>225000</v>
      </c>
      <c r="G15" s="60">
        <f t="shared" ref="G15:G19" si="5">PRODUCT(F15,1)</f>
        <v>225000</v>
      </c>
    </row>
    <row r="16" ht="12.75" customHeight="1">
      <c r="C16" s="140" t="s">
        <v>217</v>
      </c>
      <c r="D16" s="134">
        <v>40.0</v>
      </c>
      <c r="E16" s="134">
        <v>10000.0</v>
      </c>
      <c r="F16" s="60">
        <f t="shared" si="4"/>
        <v>400000</v>
      </c>
      <c r="G16" s="60">
        <f t="shared" si="5"/>
        <v>400000</v>
      </c>
    </row>
    <row r="17" ht="12.75" customHeight="1">
      <c r="C17" s="140" t="s">
        <v>218</v>
      </c>
      <c r="D17" s="134">
        <v>40.0</v>
      </c>
      <c r="E17" s="134">
        <v>30000.0</v>
      </c>
      <c r="F17" s="60">
        <f t="shared" si="4"/>
        <v>1200000</v>
      </c>
      <c r="G17" s="60">
        <f t="shared" si="5"/>
        <v>1200000</v>
      </c>
    </row>
    <row r="18" ht="12.75" customHeight="1">
      <c r="C18" s="140" t="s">
        <v>219</v>
      </c>
      <c r="D18" s="134">
        <v>40.0</v>
      </c>
      <c r="E18" s="134">
        <v>50000.0</v>
      </c>
      <c r="F18" s="60">
        <f t="shared" si="4"/>
        <v>2000000</v>
      </c>
      <c r="G18" s="60">
        <f t="shared" si="5"/>
        <v>2000000</v>
      </c>
    </row>
    <row r="19" ht="12.75" customHeight="1">
      <c r="C19" s="59" t="s">
        <v>220</v>
      </c>
      <c r="D19" s="134">
        <v>95.0</v>
      </c>
      <c r="E19" s="134">
        <v>50000.0</v>
      </c>
      <c r="F19" s="60">
        <f t="shared" si="4"/>
        <v>4750000</v>
      </c>
      <c r="G19" s="60">
        <f t="shared" si="5"/>
        <v>4750000</v>
      </c>
    </row>
    <row r="20" ht="12.75" customHeight="1">
      <c r="C20" s="59"/>
      <c r="D20" s="60"/>
      <c r="E20" s="60"/>
      <c r="F20" s="60"/>
      <c r="G20" s="60"/>
    </row>
    <row r="21" ht="12.75" customHeight="1">
      <c r="C21" s="61" t="s">
        <v>223</v>
      </c>
      <c r="D21" s="62"/>
      <c r="E21" s="62"/>
      <c r="F21" s="62">
        <f t="shared" ref="F21:G21" si="6">SUM(F15:F20)</f>
        <v>8575000</v>
      </c>
      <c r="G21" s="62">
        <f t="shared" si="6"/>
        <v>8575000</v>
      </c>
    </row>
    <row r="22" ht="12.75" customHeight="1">
      <c r="C22" s="61"/>
      <c r="D22" s="62"/>
      <c r="E22" s="62"/>
      <c r="F22" s="62"/>
      <c r="G22" s="62"/>
    </row>
    <row r="23" ht="12.75" customHeight="1">
      <c r="C23" s="81" t="s">
        <v>224</v>
      </c>
      <c r="D23" s="60"/>
      <c r="E23" s="60"/>
      <c r="F23" s="60"/>
      <c r="G23" s="60"/>
    </row>
    <row r="24" ht="12.75" customHeight="1">
      <c r="C24" s="140" t="s">
        <v>216</v>
      </c>
      <c r="D24" s="134">
        <v>75.0</v>
      </c>
      <c r="E24" s="134">
        <v>2500.0</v>
      </c>
      <c r="F24" s="60">
        <f t="shared" ref="F24:F28" si="7">PRODUCT(D24,E24)</f>
        <v>187500</v>
      </c>
      <c r="G24" s="60">
        <f t="shared" ref="G24:G28" si="8">PRODUCT(F24,2)</f>
        <v>375000</v>
      </c>
    </row>
    <row r="25" ht="12.75" customHeight="1">
      <c r="C25" s="140" t="s">
        <v>217</v>
      </c>
      <c r="D25" s="134">
        <v>20.0</v>
      </c>
      <c r="E25" s="134">
        <v>10000.0</v>
      </c>
      <c r="F25" s="60">
        <f t="shared" si="7"/>
        <v>200000</v>
      </c>
      <c r="G25" s="60">
        <f t="shared" si="8"/>
        <v>400000</v>
      </c>
    </row>
    <row r="26" ht="12.75" customHeight="1">
      <c r="C26" s="140" t="s">
        <v>218</v>
      </c>
      <c r="D26" s="134">
        <v>30.0</v>
      </c>
      <c r="E26" s="134">
        <v>30000.0</v>
      </c>
      <c r="F26" s="60">
        <f t="shared" si="7"/>
        <v>900000</v>
      </c>
      <c r="G26" s="60">
        <f t="shared" si="8"/>
        <v>1800000</v>
      </c>
    </row>
    <row r="27" ht="12.75" customHeight="1">
      <c r="C27" s="140" t="s">
        <v>219</v>
      </c>
      <c r="D27" s="134">
        <v>30.0</v>
      </c>
      <c r="E27" s="134">
        <v>50000.0</v>
      </c>
      <c r="F27" s="60">
        <f t="shared" si="7"/>
        <v>1500000</v>
      </c>
      <c r="G27" s="60">
        <f t="shared" si="8"/>
        <v>3000000</v>
      </c>
    </row>
    <row r="28" ht="12.75" customHeight="1">
      <c r="C28" s="59" t="s">
        <v>220</v>
      </c>
      <c r="D28" s="134">
        <v>70.0</v>
      </c>
      <c r="E28" s="134">
        <v>50000.0</v>
      </c>
      <c r="F28" s="60">
        <f t="shared" si="7"/>
        <v>3500000</v>
      </c>
      <c r="G28" s="60">
        <f t="shared" si="8"/>
        <v>7000000</v>
      </c>
    </row>
    <row r="29" ht="12.75" customHeight="1">
      <c r="C29" s="59"/>
      <c r="D29" s="60"/>
      <c r="E29" s="60"/>
      <c r="F29" s="60"/>
      <c r="G29" s="60"/>
    </row>
    <row r="30" ht="12.75" customHeight="1">
      <c r="C30" s="61" t="s">
        <v>225</v>
      </c>
      <c r="D30" s="62"/>
      <c r="E30" s="62"/>
      <c r="F30" s="62">
        <f t="shared" ref="F30:G30" si="9">SUM(F24:F28)</f>
        <v>6287500</v>
      </c>
      <c r="G30" s="62">
        <f t="shared" si="9"/>
        <v>12575000</v>
      </c>
    </row>
    <row r="31" ht="12.75" customHeight="1">
      <c r="C31" s="61"/>
      <c r="D31" s="62"/>
      <c r="E31" s="62"/>
      <c r="F31" s="62"/>
      <c r="G31" s="62"/>
    </row>
    <row r="32" ht="12.75" customHeight="1">
      <c r="C32" s="59" t="s">
        <v>226</v>
      </c>
      <c r="D32" s="60"/>
      <c r="E32" s="60"/>
      <c r="F32" s="60"/>
      <c r="G32" s="60">
        <f>SUM(G12,G21,G30)</f>
        <v>108900000</v>
      </c>
    </row>
    <row r="33" ht="12.75" customHeight="1">
      <c r="C33" s="59" t="s">
        <v>227</v>
      </c>
      <c r="D33" s="60"/>
      <c r="E33" s="60"/>
      <c r="F33" s="60"/>
      <c r="G33" s="60">
        <f>G32*(1+ 2%)</f>
        <v>111078000</v>
      </c>
    </row>
    <row r="34" ht="12.75" customHeight="1">
      <c r="C34" s="59" t="s">
        <v>228</v>
      </c>
      <c r="D34" s="60"/>
      <c r="E34" s="60"/>
      <c r="F34" s="60"/>
      <c r="G34" s="60">
        <f>G33*(1+ 3%)</f>
        <v>114410340</v>
      </c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C2:G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72.38"/>
    <col customWidth="1" min="3" max="3" width="17.63"/>
    <col customWidth="1" min="4" max="4" width="17.5"/>
    <col customWidth="1" min="5" max="5" width="17.13"/>
    <col customWidth="1" min="6" max="26" width="10.63"/>
  </cols>
  <sheetData>
    <row r="1" ht="12.75" customHeight="1"/>
    <row r="2" ht="12.75" customHeight="1"/>
    <row r="3" ht="12.75" customHeight="1"/>
    <row r="4" ht="12.75" customHeight="1">
      <c r="B4" s="143" t="s">
        <v>229</v>
      </c>
      <c r="C4" s="144"/>
      <c r="D4" s="144"/>
      <c r="E4" s="145"/>
    </row>
    <row r="5" ht="12.75" customHeight="1">
      <c r="B5" s="146"/>
      <c r="C5" s="59"/>
      <c r="D5" s="59"/>
      <c r="E5" s="147"/>
    </row>
    <row r="6" ht="12.75" customHeight="1">
      <c r="B6" s="148" t="s">
        <v>230</v>
      </c>
      <c r="C6" s="149" t="s">
        <v>231</v>
      </c>
      <c r="D6" s="149" t="s">
        <v>232</v>
      </c>
      <c r="E6" s="150" t="s">
        <v>233</v>
      </c>
    </row>
    <row r="7" ht="12.75" customHeight="1">
      <c r="B7" s="151" t="s">
        <v>234</v>
      </c>
      <c r="C7" s="152">
        <f>'estimation CA prévisionnels'!G32</f>
        <v>108900000</v>
      </c>
      <c r="D7" s="152">
        <f>'estimation CA prévisionnels'!G33</f>
        <v>111078000</v>
      </c>
      <c r="E7" s="153">
        <f>'estimation CA prévisionnels'!G34</f>
        <v>114410340</v>
      </c>
    </row>
    <row r="8" ht="12.75" customHeight="1">
      <c r="B8" s="154"/>
      <c r="C8" s="155" t="s">
        <v>235</v>
      </c>
      <c r="D8" s="156">
        <f t="shared" ref="D8:E8" si="1">(D7-C7)/C7</f>
        <v>0.02</v>
      </c>
      <c r="E8" s="157">
        <f t="shared" si="1"/>
        <v>0.03</v>
      </c>
    </row>
    <row r="9" ht="12.75" customHeight="1">
      <c r="B9" s="158" t="s">
        <v>236</v>
      </c>
      <c r="C9" s="159"/>
      <c r="D9" s="159"/>
      <c r="E9" s="160"/>
    </row>
    <row r="10" ht="12.75" customHeight="1">
      <c r="B10" s="161" t="s">
        <v>237</v>
      </c>
      <c r="C10" s="82">
        <f>'Dotation en FR'!C7</f>
        <v>0</v>
      </c>
      <c r="D10" s="82" t="str">
        <f>'Dotation en FR'!D7</f>
        <v/>
      </c>
      <c r="E10" s="162">
        <f>'Dotation en FR'!E7</f>
        <v>0</v>
      </c>
    </row>
    <row r="11" ht="12.75" customHeight="1">
      <c r="B11" s="161" t="s">
        <v>238</v>
      </c>
      <c r="C11" s="82">
        <f>'Dotation en FR'!C8</f>
        <v>10707960</v>
      </c>
      <c r="D11" s="82">
        <f>'Dotation en FR'!D8</f>
        <v>10707960</v>
      </c>
      <c r="E11" s="162">
        <f>'Dotation en FR'!E8</f>
        <v>10707960</v>
      </c>
    </row>
    <row r="12" ht="12.75" customHeight="1">
      <c r="B12" s="161" t="s">
        <v>239</v>
      </c>
      <c r="C12" s="82">
        <f>'Dotation en FR'!C9</f>
        <v>0</v>
      </c>
      <c r="D12" s="82">
        <f>'Dotation en FR'!D9</f>
        <v>0</v>
      </c>
      <c r="E12" s="162">
        <f>'Dotation en FR'!E9</f>
        <v>0</v>
      </c>
    </row>
    <row r="13" ht="12.75" customHeight="1">
      <c r="B13" s="161" t="s">
        <v>240</v>
      </c>
      <c r="C13" s="82">
        <f>'Dotation en FR'!C10</f>
        <v>0</v>
      </c>
      <c r="D13" s="82">
        <f>'Dotation en FR'!D10</f>
        <v>0</v>
      </c>
      <c r="E13" s="162">
        <f>'Dotation en FR'!E10</f>
        <v>0</v>
      </c>
    </row>
    <row r="14" ht="12.75" customHeight="1">
      <c r="B14" s="161" t="s">
        <v>241</v>
      </c>
      <c r="C14" s="82">
        <f>'Dotation en FR'!C11</f>
        <v>840000</v>
      </c>
      <c r="D14" s="82">
        <f>'Dotation en FR'!D11</f>
        <v>840000</v>
      </c>
      <c r="E14" s="162">
        <f>'Dotation en FR'!E11</f>
        <v>840000</v>
      </c>
    </row>
    <row r="15" ht="12.75" customHeight="1">
      <c r="B15" s="161" t="s">
        <v>242</v>
      </c>
      <c r="C15" s="82">
        <f>'Dotation en FR'!C12</f>
        <v>13320000</v>
      </c>
      <c r="D15" s="82">
        <f>'Dotation en FR'!D12</f>
        <v>13320000</v>
      </c>
      <c r="E15" s="162">
        <f>'Dotation en FR'!E12</f>
        <v>13320000</v>
      </c>
    </row>
    <row r="16" ht="12.75" customHeight="1">
      <c r="B16" s="161" t="s">
        <v>243</v>
      </c>
      <c r="C16" s="82">
        <f>'Dotation en FR'!C13</f>
        <v>24000</v>
      </c>
      <c r="D16" s="82">
        <f>'Dotation en FR'!D13</f>
        <v>24000</v>
      </c>
      <c r="E16" s="162">
        <f>'Dotation en FR'!E13</f>
        <v>24000</v>
      </c>
    </row>
    <row r="17" ht="12.75" customHeight="1">
      <c r="B17" s="161" t="s">
        <v>244</v>
      </c>
      <c r="C17" s="82">
        <f>'Dotation en FR'!C14</f>
        <v>240000</v>
      </c>
      <c r="D17" s="82">
        <f>'Dotation en FR'!D14</f>
        <v>240000</v>
      </c>
      <c r="E17" s="162">
        <f>'Dotation en FR'!E14</f>
        <v>240000</v>
      </c>
    </row>
    <row r="18" ht="12.75" customHeight="1">
      <c r="B18" s="161" t="s">
        <v>245</v>
      </c>
      <c r="C18" s="82">
        <f>'Dotation en FR'!C15</f>
        <v>0</v>
      </c>
      <c r="D18" s="82">
        <f>'Dotation en FR'!D15</f>
        <v>0</v>
      </c>
      <c r="E18" s="162">
        <f>'Dotation en FR'!E15</f>
        <v>0</v>
      </c>
    </row>
    <row r="19" ht="12.75" customHeight="1">
      <c r="B19" s="161" t="s">
        <v>246</v>
      </c>
      <c r="C19" s="82">
        <f>'Dotation en FR'!C16</f>
        <v>0</v>
      </c>
      <c r="D19" s="82">
        <f>'Dotation en FR'!D16</f>
        <v>0</v>
      </c>
      <c r="E19" s="162">
        <f>'Dotation en FR'!E16</f>
        <v>0</v>
      </c>
    </row>
    <row r="20" ht="12.75" customHeight="1">
      <c r="B20" s="161" t="s">
        <v>247</v>
      </c>
      <c r="C20" s="82">
        <f>'Dotation en FR'!C17</f>
        <v>600000</v>
      </c>
      <c r="D20" s="82">
        <f>'Dotation en FR'!D17</f>
        <v>600000</v>
      </c>
      <c r="E20" s="162">
        <f>'Dotation en FR'!E17</f>
        <v>600000</v>
      </c>
    </row>
    <row r="21" ht="12.75" customHeight="1">
      <c r="B21" s="161" t="s">
        <v>248</v>
      </c>
      <c r="C21" s="82">
        <f>'Dotation en FR'!C18</f>
        <v>1200000</v>
      </c>
      <c r="D21" s="82">
        <f>'Dotation en FR'!D18</f>
        <v>1200000</v>
      </c>
      <c r="E21" s="162">
        <f>'Dotation en FR'!E18</f>
        <v>1200000</v>
      </c>
    </row>
    <row r="22" ht="12.75" customHeight="1">
      <c r="B22" s="161" t="s">
        <v>249</v>
      </c>
      <c r="C22" s="82">
        <f>'Dotation en FR'!C19</f>
        <v>720000</v>
      </c>
      <c r="D22" s="82">
        <f>'Dotation en FR'!D19</f>
        <v>720000</v>
      </c>
      <c r="E22" s="162">
        <f>'Dotation en FR'!E19</f>
        <v>720000</v>
      </c>
    </row>
    <row r="23" ht="12.75" customHeight="1">
      <c r="B23" s="161" t="s">
        <v>250</v>
      </c>
      <c r="C23" s="82">
        <f>'Dotation en FR'!C20</f>
        <v>600000</v>
      </c>
      <c r="D23" s="82">
        <f>'Dotation en FR'!D20</f>
        <v>600000</v>
      </c>
      <c r="E23" s="162">
        <f>'Dotation en FR'!E20</f>
        <v>600000</v>
      </c>
    </row>
    <row r="24" ht="12.75" customHeight="1">
      <c r="B24" s="161" t="s">
        <v>251</v>
      </c>
      <c r="C24" s="82">
        <f>'Dotation en FR'!C21</f>
        <v>1800000</v>
      </c>
      <c r="D24" s="82">
        <f>'Dotation en FR'!D21</f>
        <v>1800000</v>
      </c>
      <c r="E24" s="162">
        <f>'Dotation en FR'!E21</f>
        <v>1800000</v>
      </c>
    </row>
    <row r="25" ht="12.75" customHeight="1">
      <c r="B25" s="161" t="s">
        <v>252</v>
      </c>
      <c r="C25" s="82">
        <f>'Dotation en FR'!C22</f>
        <v>1800000</v>
      </c>
      <c r="D25" s="82">
        <f>'Dotation en FR'!D22</f>
        <v>1800000</v>
      </c>
      <c r="E25" s="162">
        <f>'Dotation en FR'!E22</f>
        <v>1800000</v>
      </c>
    </row>
    <row r="26" ht="12.75" customHeight="1">
      <c r="B26" s="161" t="s">
        <v>253</v>
      </c>
      <c r="C26" s="82">
        <f>'Dotation en FR'!C23</f>
        <v>3600000</v>
      </c>
      <c r="D26" s="82">
        <f>'Dotation en FR'!D23</f>
        <v>3600000</v>
      </c>
      <c r="E26" s="162">
        <f>'Dotation en FR'!E23</f>
        <v>3600000</v>
      </c>
    </row>
    <row r="27" ht="12.75" customHeight="1">
      <c r="B27" s="161" t="s">
        <v>254</v>
      </c>
      <c r="C27" s="82">
        <f>'Dotation en FR'!C24</f>
        <v>120000</v>
      </c>
      <c r="D27" s="82">
        <f>'Dotation en FR'!D24</f>
        <v>120000</v>
      </c>
      <c r="E27" s="162">
        <f>'Dotation en FR'!E24</f>
        <v>120000</v>
      </c>
    </row>
    <row r="28" ht="12.75" customHeight="1">
      <c r="B28" s="161" t="s">
        <v>255</v>
      </c>
      <c r="C28" s="82">
        <f>'Dotation en FR'!C25</f>
        <v>180000</v>
      </c>
      <c r="D28" s="82">
        <f>'Dotation en FR'!D25</f>
        <v>180000</v>
      </c>
      <c r="E28" s="162">
        <f>'Dotation en FR'!E25</f>
        <v>180000</v>
      </c>
    </row>
    <row r="29" ht="12.75" customHeight="1">
      <c r="B29" s="161" t="s">
        <v>256</v>
      </c>
      <c r="C29" s="82">
        <f>'Dotation en FR'!C26</f>
        <v>0</v>
      </c>
      <c r="D29" s="82">
        <f>'Dotation en FR'!D26</f>
        <v>0</v>
      </c>
      <c r="E29" s="162">
        <f>'Dotation en FR'!E26</f>
        <v>0</v>
      </c>
    </row>
    <row r="30" ht="12.75" customHeight="1">
      <c r="B30" s="161" t="s">
        <v>257</v>
      </c>
      <c r="C30" s="82">
        <f>'Dotation en FR'!C27</f>
        <v>2400000</v>
      </c>
      <c r="D30" s="82">
        <f>'Dotation en FR'!D27</f>
        <v>2400000</v>
      </c>
      <c r="E30" s="162">
        <f>'Dotation en FR'!E27</f>
        <v>2400000</v>
      </c>
    </row>
    <row r="31" ht="12.75" customHeight="1">
      <c r="B31" s="161" t="s">
        <v>258</v>
      </c>
      <c r="C31" s="82">
        <f>'Dotation en FR'!C28</f>
        <v>0</v>
      </c>
      <c r="D31" s="82">
        <f>'Dotation en FR'!D28</f>
        <v>0</v>
      </c>
      <c r="E31" s="162">
        <f>'Dotation en FR'!E28</f>
        <v>0</v>
      </c>
    </row>
    <row r="32" ht="12.75" customHeight="1">
      <c r="B32" s="161" t="s">
        <v>259</v>
      </c>
      <c r="C32" s="82">
        <f>'Dotation en FR'!C32</f>
        <v>0</v>
      </c>
      <c r="D32" s="82">
        <f>'Dotation en FR'!D32</f>
        <v>0</v>
      </c>
      <c r="E32" s="162">
        <f>'Dotation en FR'!E32</f>
        <v>0</v>
      </c>
    </row>
    <row r="33" ht="12.75" customHeight="1">
      <c r="B33" s="163" t="s">
        <v>260</v>
      </c>
      <c r="C33" s="164">
        <f t="shared" ref="C33:E33" si="2">+SUM(C11:C27)</f>
        <v>35571960</v>
      </c>
      <c r="D33" s="164">
        <f t="shared" si="2"/>
        <v>35571960</v>
      </c>
      <c r="E33" s="165">
        <f t="shared" si="2"/>
        <v>35571960</v>
      </c>
    </row>
    <row r="34" ht="12.75" customHeight="1">
      <c r="B34" s="166" t="s">
        <v>261</v>
      </c>
      <c r="C34" s="152">
        <f t="shared" ref="C34:E34" si="3">C7-C33</f>
        <v>73328040</v>
      </c>
      <c r="D34" s="152">
        <f t="shared" si="3"/>
        <v>75506040</v>
      </c>
      <c r="E34" s="153">
        <f t="shared" si="3"/>
        <v>78838380</v>
      </c>
    </row>
    <row r="35" ht="12.75" customHeight="1">
      <c r="B35" s="167" t="s">
        <v>262</v>
      </c>
      <c r="C35" s="156">
        <f t="shared" ref="C35:E35" si="4">C34/C7</f>
        <v>0.6733520661</v>
      </c>
      <c r="D35" s="156">
        <f t="shared" si="4"/>
        <v>0.6797569276</v>
      </c>
      <c r="E35" s="157">
        <f t="shared" si="4"/>
        <v>0.6890843957</v>
      </c>
    </row>
    <row r="36" ht="12.75" customHeight="1">
      <c r="B36" s="168" t="s">
        <v>263</v>
      </c>
      <c r="C36" s="169">
        <f>'Dotation en FR'!C29+'Dotation en FR'!C30</f>
        <v>4512480</v>
      </c>
      <c r="D36" s="169">
        <f>'Dotation en FR'!D29+'Dotation en FR'!D30</f>
        <v>4512480</v>
      </c>
      <c r="E36" s="170">
        <f>'Dotation en FR'!E29+'Dotation en FR'!E30</f>
        <v>4512480</v>
      </c>
    </row>
    <row r="37" ht="12.75" customHeight="1">
      <c r="B37" s="166" t="s">
        <v>264</v>
      </c>
      <c r="C37" s="152">
        <f t="shared" ref="C37:E37" si="5">+C34-C36</f>
        <v>68815560</v>
      </c>
      <c r="D37" s="152">
        <f t="shared" si="5"/>
        <v>70993560</v>
      </c>
      <c r="E37" s="153">
        <f t="shared" si="5"/>
        <v>74325900</v>
      </c>
    </row>
    <row r="38" ht="12.75" customHeight="1">
      <c r="B38" s="167" t="s">
        <v>265</v>
      </c>
      <c r="C38" s="171">
        <f t="shared" ref="C38:E38" si="6">C37/C7</f>
        <v>0.6319151515</v>
      </c>
      <c r="D38" s="171">
        <f t="shared" si="6"/>
        <v>0.6391325015</v>
      </c>
      <c r="E38" s="172">
        <f t="shared" si="6"/>
        <v>0.6496432053</v>
      </c>
    </row>
    <row r="39" ht="12.75" customHeight="1">
      <c r="B39" s="168" t="s">
        <v>266</v>
      </c>
      <c r="C39" s="169">
        <f>amortis!D24</f>
        <v>1479330</v>
      </c>
      <c r="D39" s="169">
        <f>amortis!F24</f>
        <v>1479330</v>
      </c>
      <c r="E39" s="170">
        <f>amortis!H24</f>
        <v>1479330</v>
      </c>
    </row>
    <row r="40" ht="12.75" customHeight="1">
      <c r="B40" s="166" t="s">
        <v>267</v>
      </c>
      <c r="C40" s="152">
        <f t="shared" ref="C40:E40" si="7">+C37-C39</f>
        <v>67336230</v>
      </c>
      <c r="D40" s="152">
        <f t="shared" si="7"/>
        <v>69514230</v>
      </c>
      <c r="E40" s="153">
        <f t="shared" si="7"/>
        <v>72846570</v>
      </c>
    </row>
    <row r="41" ht="12.75" customHeight="1">
      <c r="B41" s="167" t="s">
        <v>268</v>
      </c>
      <c r="C41" s="171">
        <f t="shared" ref="C41:E41" si="8">C40/C7</f>
        <v>0.618330854</v>
      </c>
      <c r="D41" s="171">
        <f t="shared" si="8"/>
        <v>0.6258145627</v>
      </c>
      <c r="E41" s="172">
        <f t="shared" si="8"/>
        <v>0.6367131677</v>
      </c>
    </row>
    <row r="42" ht="12.75" customHeight="1">
      <c r="B42" s="173" t="s">
        <v>269</v>
      </c>
      <c r="C42" s="174"/>
      <c r="D42" s="174"/>
      <c r="E42" s="175"/>
    </row>
    <row r="43" ht="12.75" customHeight="1">
      <c r="B43" s="161" t="s">
        <v>270</v>
      </c>
      <c r="C43" s="82"/>
      <c r="D43" s="82"/>
      <c r="E43" s="162"/>
    </row>
    <row r="44" ht="12.75" customHeight="1">
      <c r="B44" s="176" t="s">
        <v>271</v>
      </c>
      <c r="C44" s="177"/>
      <c r="D44" s="177"/>
      <c r="E44" s="178"/>
    </row>
    <row r="45" ht="12.75" customHeight="1">
      <c r="B45" s="179" t="s">
        <v>272</v>
      </c>
      <c r="C45" s="180">
        <f t="shared" ref="C45:E45" si="9">SUM(C43:C44)</f>
        <v>0</v>
      </c>
      <c r="D45" s="181">
        <f t="shared" si="9"/>
        <v>0</v>
      </c>
      <c r="E45" s="180">
        <f t="shared" si="9"/>
        <v>0</v>
      </c>
    </row>
    <row r="46" ht="12.75" customHeight="1">
      <c r="B46" s="182" t="s">
        <v>273</v>
      </c>
      <c r="C46" s="159">
        <f>'Charges dexploitation'!G30</f>
        <v>1050000</v>
      </c>
      <c r="D46" s="159">
        <f>'Dotation en FR'!D31</f>
        <v>0</v>
      </c>
      <c r="E46" s="160">
        <f>'Dotation en FR'!E31</f>
        <v>0</v>
      </c>
    </row>
    <row r="47" ht="12.75" customHeight="1">
      <c r="B47" s="176" t="s">
        <v>274</v>
      </c>
      <c r="C47" s="177"/>
      <c r="D47" s="177"/>
      <c r="E47" s="178"/>
    </row>
    <row r="48" ht="12.75" customHeight="1">
      <c r="B48" s="183" t="s">
        <v>275</v>
      </c>
      <c r="C48" s="181">
        <f t="shared" ref="C48:E48" si="10">SUM(C46:C47)</f>
        <v>1050000</v>
      </c>
      <c r="D48" s="180">
        <f t="shared" si="10"/>
        <v>0</v>
      </c>
      <c r="E48" s="184">
        <f t="shared" si="10"/>
        <v>0</v>
      </c>
    </row>
    <row r="49" ht="12.75" customHeight="1">
      <c r="B49" s="185" t="s">
        <v>276</v>
      </c>
      <c r="C49" s="186">
        <f t="shared" ref="C49:E49" si="11">C45-C48</f>
        <v>-1050000</v>
      </c>
      <c r="D49" s="186">
        <f t="shared" si="11"/>
        <v>0</v>
      </c>
      <c r="E49" s="187">
        <f t="shared" si="11"/>
        <v>0</v>
      </c>
    </row>
    <row r="50" ht="12.75" customHeight="1">
      <c r="B50" s="146"/>
      <c r="C50" s="82"/>
      <c r="D50" s="82"/>
      <c r="E50" s="162"/>
    </row>
    <row r="51" ht="12.75" customHeight="1">
      <c r="B51" s="188" t="s">
        <v>277</v>
      </c>
      <c r="C51" s="189">
        <f t="shared" ref="C51:E51" si="12">+C40+C49</f>
        <v>66286230</v>
      </c>
      <c r="D51" s="189">
        <f t="shared" si="12"/>
        <v>69514230</v>
      </c>
      <c r="E51" s="190">
        <f t="shared" si="12"/>
        <v>72846570</v>
      </c>
    </row>
    <row r="52" ht="12.75" customHeight="1">
      <c r="B52" s="146" t="s">
        <v>278</v>
      </c>
      <c r="C52" s="82">
        <f t="shared" ref="C52:E52" si="13">C51*25%</f>
        <v>16571557.5</v>
      </c>
      <c r="D52" s="82">
        <f t="shared" si="13"/>
        <v>17378557.5</v>
      </c>
      <c r="E52" s="82">
        <f t="shared" si="13"/>
        <v>18211642.5</v>
      </c>
    </row>
    <row r="53" ht="12.75" customHeight="1">
      <c r="B53" s="191" t="s">
        <v>279</v>
      </c>
      <c r="C53" s="192">
        <f t="shared" ref="C53:E53" si="14">C51-C52</f>
        <v>49714672.5</v>
      </c>
      <c r="D53" s="192">
        <f t="shared" si="14"/>
        <v>52135672.5</v>
      </c>
      <c r="E53" s="192">
        <f t="shared" si="14"/>
        <v>54634927.5</v>
      </c>
    </row>
    <row r="54" ht="12.75" customHeight="1">
      <c r="B54" s="193" t="s">
        <v>280</v>
      </c>
      <c r="C54" s="82">
        <f t="shared" ref="C54:E54" si="15">C53*20%</f>
        <v>9942934.5</v>
      </c>
      <c r="D54" s="82">
        <f t="shared" si="15"/>
        <v>10427134.5</v>
      </c>
      <c r="E54" s="82">
        <f t="shared" si="15"/>
        <v>10926985.5</v>
      </c>
    </row>
    <row r="55" ht="12.75" customHeight="1">
      <c r="B55" s="191" t="s">
        <v>281</v>
      </c>
      <c r="C55" s="192">
        <f t="shared" ref="C55:E55" si="16">C53-C54</f>
        <v>39771738</v>
      </c>
      <c r="D55" s="192">
        <f t="shared" si="16"/>
        <v>41708538</v>
      </c>
      <c r="E55" s="192">
        <f t="shared" si="16"/>
        <v>43707942</v>
      </c>
    </row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B4:E4"/>
    <mergeCell ref="B7:B8"/>
  </mergeCells>
  <printOptions/>
  <pageMargins bottom="0.984251969" footer="0.0" header="0.0" left="0.787401575" right="0.787401575" top="0.984251969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73.63"/>
    <col customWidth="1" min="3" max="3" width="16.5"/>
    <col customWidth="1" min="4" max="4" width="15.5"/>
    <col customWidth="1" min="5" max="5" width="16.5"/>
    <col customWidth="1" min="6" max="26" width="10.63"/>
  </cols>
  <sheetData>
    <row r="1" ht="12.75" customHeight="1"/>
    <row r="2" ht="12.75" customHeight="1"/>
    <row r="3" ht="12.75" customHeight="1"/>
    <row r="4" ht="12.75" customHeight="1">
      <c r="B4" s="59" t="s">
        <v>282</v>
      </c>
      <c r="C4" s="93">
        <f>'compte dexploit'!C53/55000000</f>
        <v>0.9039031364</v>
      </c>
      <c r="D4" s="93">
        <f>'compte dexploit'!D53/55000000</f>
        <v>0.9479213182</v>
      </c>
      <c r="E4" s="93">
        <f>'compte dexploit'!E53/55000000</f>
        <v>0.9933623182</v>
      </c>
    </row>
    <row r="5" ht="12.75" customHeight="1">
      <c r="B5" s="194" t="s">
        <v>283</v>
      </c>
      <c r="C5" s="189">
        <f>'compte dexploit'!C55+'compte dexploit'!C39</f>
        <v>41251068</v>
      </c>
      <c r="D5" s="189">
        <f>'compte dexploit'!D55+'compte dexploit'!D39</f>
        <v>43187868</v>
      </c>
      <c r="E5" s="189">
        <f>'compte dexploit'!E55+'compte dexploit'!E39</f>
        <v>45187272</v>
      </c>
    </row>
    <row r="6" ht="12.75" customHeight="1">
      <c r="B6" s="59" t="s">
        <v>284</v>
      </c>
      <c r="C6" s="195">
        <f>POWER((1+0),(-1))</f>
        <v>1</v>
      </c>
      <c r="D6" s="195">
        <f t="shared" ref="D6:E6" si="1">POWER((1+12),(-1))</f>
        <v>0.07692307692</v>
      </c>
      <c r="E6" s="195">
        <f t="shared" si="1"/>
        <v>0.07692307692</v>
      </c>
    </row>
    <row r="7" ht="12.75" customHeight="1">
      <c r="B7" s="196" t="s">
        <v>285</v>
      </c>
      <c r="C7" s="197">
        <f t="shared" ref="C7:E7" si="2">C5*C6</f>
        <v>41251068</v>
      </c>
      <c r="D7" s="197">
        <f t="shared" si="2"/>
        <v>3322143.692</v>
      </c>
      <c r="E7" s="197">
        <f t="shared" si="2"/>
        <v>3475944</v>
      </c>
    </row>
    <row r="8" ht="12.75" customHeight="1">
      <c r="B8" s="59" t="s">
        <v>286</v>
      </c>
      <c r="C8" s="60">
        <f>C7</f>
        <v>41251068</v>
      </c>
      <c r="D8" s="60">
        <f t="shared" ref="D8:E8" si="3">C8+D7</f>
        <v>44573211.69</v>
      </c>
      <c r="E8" s="60">
        <f t="shared" si="3"/>
        <v>48049155.69</v>
      </c>
    </row>
    <row r="9" ht="12.75" customHeight="1"/>
    <row r="10" ht="12.75" customHeight="1"/>
    <row r="11" ht="12.75" customHeight="1"/>
    <row r="12" ht="12.75" customHeight="1">
      <c r="B12" s="198" t="s">
        <v>287</v>
      </c>
      <c r="C12" s="199">
        <f>E8-'Coût du prjet'!C22</f>
        <v>36402435.69</v>
      </c>
    </row>
    <row r="13" ht="12.75" customHeight="1"/>
    <row r="14" ht="12.75" customHeight="1">
      <c r="B14" s="92" t="s">
        <v>288</v>
      </c>
    </row>
    <row r="15" ht="12.75" customHeight="1">
      <c r="B15" s="92"/>
    </row>
    <row r="16" ht="12.75" customHeight="1">
      <c r="B16" s="47" t="s">
        <v>289</v>
      </c>
      <c r="C16" s="2"/>
      <c r="D16" s="2"/>
      <c r="E16" s="3"/>
    </row>
    <row r="17" ht="12.75" customHeight="1">
      <c r="B17" s="92"/>
    </row>
    <row r="18" ht="12.75" customHeight="1">
      <c r="B18" s="194" t="str">
        <f t="shared" ref="B18:E18" si="4">B5</f>
        <v>Autofinancement Net (Solde Financier 1)</v>
      </c>
      <c r="C18" s="189">
        <f t="shared" si="4"/>
        <v>41251068</v>
      </c>
      <c r="D18" s="189">
        <f t="shared" si="4"/>
        <v>43187868</v>
      </c>
      <c r="E18" s="189">
        <f t="shared" si="4"/>
        <v>45187272</v>
      </c>
    </row>
    <row r="19" ht="12.75" customHeight="1">
      <c r="B19" s="59" t="s">
        <v>290</v>
      </c>
      <c r="C19" s="195">
        <f t="shared" ref="C19:E19" si="5">POWER(1+12%,"-1")</f>
        <v>0.8928571429</v>
      </c>
      <c r="D19" s="195">
        <f t="shared" si="5"/>
        <v>0.8928571429</v>
      </c>
      <c r="E19" s="195">
        <f t="shared" si="5"/>
        <v>0.8928571429</v>
      </c>
    </row>
    <row r="20" ht="12.75" customHeight="1">
      <c r="B20" s="196" t="str">
        <f t="shared" ref="B20:B21" si="7">B7</f>
        <v>Autofinancement Net Actualisé</v>
      </c>
      <c r="C20" s="197">
        <f t="shared" ref="C20:E20" si="6">C18*C19</f>
        <v>36831310.71</v>
      </c>
      <c r="D20" s="197">
        <f t="shared" si="6"/>
        <v>38560596.43</v>
      </c>
      <c r="E20" s="197">
        <f t="shared" si="6"/>
        <v>40345778.57</v>
      </c>
    </row>
    <row r="21" ht="12.75" customHeight="1">
      <c r="B21" s="59" t="str">
        <f t="shared" si="7"/>
        <v> Cumul des Autofinancements Nets</v>
      </c>
      <c r="C21" s="60">
        <f>C20</f>
        <v>36831310.71</v>
      </c>
      <c r="D21" s="60">
        <f t="shared" ref="D21:E21" si="8">C21+D20</f>
        <v>75391907.14</v>
      </c>
      <c r="E21" s="60">
        <f t="shared" si="8"/>
        <v>115737685.7</v>
      </c>
    </row>
    <row r="22" ht="12.75" customHeight="1"/>
    <row r="23" ht="12.75" customHeight="1"/>
    <row r="24" ht="12.75" customHeight="1"/>
    <row r="25" ht="12.75" customHeight="1">
      <c r="B25" s="198" t="s">
        <v>287</v>
      </c>
      <c r="C25" s="199">
        <f>C12</f>
        <v>36402435.69</v>
      </c>
    </row>
    <row r="26" ht="12.75" customHeight="1"/>
    <row r="27" ht="12.75" customHeight="1">
      <c r="B27" s="198" t="s">
        <v>291</v>
      </c>
      <c r="C27" s="199">
        <v>0.0</v>
      </c>
    </row>
    <row r="28" ht="12.75" customHeight="1"/>
    <row r="29" ht="12.75" customHeight="1">
      <c r="B29" s="198" t="s">
        <v>292</v>
      </c>
      <c r="C29" s="199">
        <f>E21-'Coût du prjet'!C22</f>
        <v>104090965.7</v>
      </c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>
      <c r="B39" s="198" t="s">
        <v>293</v>
      </c>
      <c r="C39" s="200">
        <f>18+(22-18)*((0-C25)/(C29-C25))</f>
        <v>15.84882693</v>
      </c>
    </row>
    <row r="40" ht="12.75" customHeight="1"/>
    <row r="41" ht="12.75" customHeight="1">
      <c r="B41" s="198" t="s">
        <v>294</v>
      </c>
      <c r="C41" s="199">
        <f>(C25/'Coût du prjet'!C22)+1</f>
        <v>4.125552576</v>
      </c>
    </row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16:E16"/>
  </mergeCell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45.63"/>
    <col customWidth="1" min="3" max="3" width="18.63"/>
    <col customWidth="1" min="4" max="5" width="18.88"/>
    <col customWidth="1" min="6" max="26" width="10.63"/>
  </cols>
  <sheetData>
    <row r="1" ht="12.75" customHeight="1"/>
    <row r="2" ht="12.75" customHeight="1">
      <c r="B2" s="201" t="s">
        <v>295</v>
      </c>
      <c r="C2" s="2"/>
      <c r="D2" s="2"/>
      <c r="E2" s="3"/>
    </row>
    <row r="3" ht="12.75" customHeight="1"/>
    <row r="4" ht="12.75" customHeight="1">
      <c r="B4" s="202" t="s">
        <v>72</v>
      </c>
      <c r="C4" s="203" t="s">
        <v>91</v>
      </c>
      <c r="D4" s="203" t="s">
        <v>92</v>
      </c>
      <c r="E4" s="204" t="s">
        <v>93</v>
      </c>
    </row>
    <row r="5" ht="12.75" customHeight="1">
      <c r="B5" s="205"/>
      <c r="C5" s="205"/>
      <c r="D5" s="205"/>
      <c r="E5" s="205"/>
    </row>
    <row r="6" ht="12.75" customHeight="1">
      <c r="B6" s="42" t="s">
        <v>296</v>
      </c>
      <c r="C6" s="206">
        <f>'compte dexploit'!C7</f>
        <v>108900000</v>
      </c>
      <c r="D6" s="206">
        <f>'compte dexploit'!D7</f>
        <v>111078000</v>
      </c>
      <c r="E6" s="206">
        <f>'compte dexploit'!E7</f>
        <v>114410340</v>
      </c>
    </row>
    <row r="7" ht="12.75" customHeight="1">
      <c r="B7" s="39"/>
      <c r="C7" s="39"/>
      <c r="D7" s="39"/>
      <c r="E7" s="39"/>
    </row>
    <row r="8" ht="12.75" customHeight="1">
      <c r="B8" s="207" t="s">
        <v>297</v>
      </c>
      <c r="C8" s="207"/>
      <c r="D8" s="207"/>
      <c r="E8" s="207"/>
    </row>
    <row r="9" ht="12.75" customHeight="1">
      <c r="B9" s="39"/>
      <c r="C9" s="39"/>
      <c r="D9" s="39"/>
      <c r="E9" s="39"/>
    </row>
    <row r="10" ht="12.75" customHeight="1">
      <c r="B10" s="59" t="s">
        <v>127</v>
      </c>
      <c r="C10" s="98"/>
      <c r="D10" s="65"/>
      <c r="E10" s="59"/>
    </row>
    <row r="11" ht="12.75" customHeight="1">
      <c r="B11" s="59" t="s">
        <v>128</v>
      </c>
      <c r="C11" s="99"/>
      <c r="D11" s="99"/>
      <c r="E11" s="82"/>
    </row>
    <row r="12" ht="12.75" customHeight="1">
      <c r="B12" s="59" t="s">
        <v>129</v>
      </c>
      <c r="C12" s="99"/>
      <c r="D12" s="99"/>
      <c r="E12" s="82"/>
    </row>
    <row r="13" ht="12.75" customHeight="1">
      <c r="B13" s="59" t="s">
        <v>130</v>
      </c>
      <c r="C13" s="99"/>
      <c r="D13" s="99"/>
      <c r="E13" s="82"/>
    </row>
    <row r="14" ht="12.75" customHeight="1">
      <c r="B14" s="59" t="s">
        <v>131</v>
      </c>
      <c r="C14" s="99"/>
      <c r="D14" s="99"/>
      <c r="E14" s="82"/>
    </row>
    <row r="15" ht="12.75" customHeight="1">
      <c r="B15" s="59" t="s">
        <v>132</v>
      </c>
      <c r="C15" s="208">
        <v>1110000.0</v>
      </c>
      <c r="D15" s="99"/>
      <c r="E15" s="82"/>
    </row>
    <row r="16" ht="12.75" customHeight="1">
      <c r="B16" s="59" t="s">
        <v>133</v>
      </c>
      <c r="C16" s="208">
        <v>2000.0</v>
      </c>
      <c r="D16" s="99"/>
      <c r="E16" s="82"/>
    </row>
    <row r="17" ht="12.75" customHeight="1">
      <c r="B17" s="59" t="s">
        <v>134</v>
      </c>
      <c r="C17" s="208">
        <v>20000.0</v>
      </c>
      <c r="D17" s="99"/>
      <c r="E17" s="82"/>
    </row>
    <row r="18" ht="12.75" customHeight="1">
      <c r="B18" s="59" t="s">
        <v>135</v>
      </c>
      <c r="C18" s="99"/>
      <c r="D18" s="99"/>
      <c r="E18" s="82"/>
    </row>
    <row r="19" ht="12.75" customHeight="1">
      <c r="B19" s="59" t="s">
        <v>136</v>
      </c>
      <c r="C19" s="99"/>
      <c r="D19" s="99"/>
      <c r="E19" s="82"/>
    </row>
    <row r="20" ht="12.75" customHeight="1">
      <c r="B20" s="59" t="s">
        <v>137</v>
      </c>
      <c r="C20" s="208">
        <v>50000.0</v>
      </c>
      <c r="D20" s="99"/>
      <c r="E20" s="82"/>
    </row>
    <row r="21" ht="12.75" customHeight="1">
      <c r="B21" s="59" t="s">
        <v>138</v>
      </c>
      <c r="C21" s="208">
        <v>100000.0</v>
      </c>
      <c r="D21" s="99"/>
      <c r="E21" s="82"/>
    </row>
    <row r="22" ht="12.75" customHeight="1">
      <c r="B22" s="59" t="s">
        <v>139</v>
      </c>
      <c r="C22" s="208">
        <v>60000.0</v>
      </c>
      <c r="D22" s="99"/>
      <c r="E22" s="82"/>
    </row>
    <row r="23" ht="12.75" customHeight="1">
      <c r="B23" s="39"/>
      <c r="C23" s="39"/>
      <c r="D23" s="39"/>
      <c r="E23" s="39"/>
    </row>
    <row r="24" ht="12.75" customHeight="1">
      <c r="B24" s="42" t="s">
        <v>298</v>
      </c>
      <c r="C24" s="206">
        <f t="shared" ref="C24:E24" si="1">SUM(C10:C22)</f>
        <v>1342000</v>
      </c>
      <c r="D24" s="206">
        <f t="shared" si="1"/>
        <v>0</v>
      </c>
      <c r="E24" s="206">
        <f t="shared" si="1"/>
        <v>0</v>
      </c>
    </row>
    <row r="25" ht="12.75" customHeight="1">
      <c r="B25" s="39"/>
      <c r="C25" s="209"/>
      <c r="D25" s="209"/>
      <c r="E25" s="209"/>
    </row>
    <row r="26" ht="12.75" customHeight="1">
      <c r="B26" s="210" t="s">
        <v>299</v>
      </c>
      <c r="C26" s="211">
        <f t="shared" ref="C26:E26" si="2">C6-C24</f>
        <v>107558000</v>
      </c>
      <c r="D26" s="211">
        <f t="shared" si="2"/>
        <v>111078000</v>
      </c>
      <c r="E26" s="211">
        <f t="shared" si="2"/>
        <v>114410340</v>
      </c>
    </row>
    <row r="27" ht="12.75" customHeight="1">
      <c r="B27" s="39"/>
      <c r="C27" s="39"/>
      <c r="D27" s="39"/>
      <c r="E27" s="39"/>
    </row>
    <row r="28" ht="12.75" customHeight="1">
      <c r="B28" s="212" t="s">
        <v>300</v>
      </c>
      <c r="C28" s="212"/>
      <c r="D28" s="212"/>
      <c r="E28" s="212"/>
    </row>
    <row r="29" ht="13.5" customHeight="1">
      <c r="B29" s="39" t="s">
        <v>140</v>
      </c>
      <c r="C29" s="213">
        <v>50000.0</v>
      </c>
      <c r="D29" s="39"/>
      <c r="E29" s="39"/>
    </row>
    <row r="30" ht="15.0" customHeight="1">
      <c r="B30" s="39" t="s">
        <v>150</v>
      </c>
      <c r="C30" s="39"/>
      <c r="D30" s="39"/>
      <c r="E30" s="39"/>
    </row>
    <row r="31" ht="12.75" customHeight="1">
      <c r="B31" s="39" t="s">
        <v>301</v>
      </c>
      <c r="C31" s="39"/>
      <c r="D31" s="39"/>
      <c r="E31" s="39"/>
    </row>
    <row r="32" ht="12.75" customHeight="1">
      <c r="B32" s="39" t="s">
        <v>302</v>
      </c>
      <c r="C32" s="213">
        <v>15000.0</v>
      </c>
      <c r="D32" s="39"/>
      <c r="E32" s="39"/>
    </row>
    <row r="33" ht="15.0" customHeight="1">
      <c r="B33" s="39" t="s">
        <v>303</v>
      </c>
      <c r="C33" s="39"/>
      <c r="D33" s="39"/>
      <c r="E33" s="39"/>
    </row>
    <row r="34" ht="12.75" customHeight="1">
      <c r="B34" s="39" t="s">
        <v>304</v>
      </c>
      <c r="C34" s="213">
        <v>200000.0</v>
      </c>
      <c r="D34" s="39"/>
      <c r="E34" s="39"/>
    </row>
    <row r="35" ht="12.75" customHeight="1">
      <c r="B35" s="39" t="s">
        <v>151</v>
      </c>
      <c r="C35" s="39"/>
      <c r="D35" s="39"/>
      <c r="E35" s="39"/>
    </row>
    <row r="36" ht="12.75" customHeight="1">
      <c r="B36" s="39" t="s">
        <v>305</v>
      </c>
      <c r="C36" s="213">
        <v>150000.0</v>
      </c>
      <c r="D36" s="39"/>
      <c r="E36" s="39"/>
    </row>
    <row r="37" ht="15.0" customHeight="1">
      <c r="B37" s="39" t="s">
        <v>306</v>
      </c>
      <c r="C37" s="213">
        <v>300000.0</v>
      </c>
      <c r="D37" s="39" t="s">
        <v>307</v>
      </c>
      <c r="E37" s="39" t="s">
        <v>308</v>
      </c>
    </row>
    <row r="38" ht="15.0" customHeight="1">
      <c r="B38" s="39"/>
      <c r="C38" s="39"/>
      <c r="D38" s="39"/>
      <c r="E38" s="39"/>
    </row>
    <row r="39" ht="14.25" customHeight="1">
      <c r="B39" s="42" t="s">
        <v>309</v>
      </c>
      <c r="C39" s="42">
        <f t="shared" ref="C39:E39" si="3">SUM(C29:C37)</f>
        <v>715000</v>
      </c>
      <c r="D39" s="42">
        <f t="shared" si="3"/>
        <v>0</v>
      </c>
      <c r="E39" s="42">
        <f t="shared" si="3"/>
        <v>0</v>
      </c>
    </row>
    <row r="40" ht="12.75" customHeight="1">
      <c r="B40" s="39"/>
      <c r="C40" s="39"/>
      <c r="D40" s="39"/>
      <c r="E40" s="39"/>
    </row>
    <row r="41" ht="12.75" customHeight="1">
      <c r="B41" s="210" t="s">
        <v>310</v>
      </c>
      <c r="C41" s="211">
        <f t="shared" ref="C41:E41" si="4">C26-C39</f>
        <v>106843000</v>
      </c>
      <c r="D41" s="211">
        <f t="shared" si="4"/>
        <v>111078000</v>
      </c>
      <c r="E41" s="211">
        <f t="shared" si="4"/>
        <v>114410340</v>
      </c>
    </row>
    <row r="42" ht="12.75" customHeight="1">
      <c r="B42" s="39"/>
      <c r="C42" s="39"/>
      <c r="D42" s="39"/>
      <c r="E42" s="39"/>
    </row>
    <row r="43" ht="12.75" customHeight="1">
      <c r="B43" s="214" t="s">
        <v>311</v>
      </c>
      <c r="C43" s="214">
        <f t="shared" ref="C43:E43" si="5">(C6*C39)/C26</f>
        <v>723921.0472</v>
      </c>
      <c r="D43" s="214">
        <f t="shared" si="5"/>
        <v>0</v>
      </c>
      <c r="E43" s="214">
        <f t="shared" si="5"/>
        <v>0</v>
      </c>
    </row>
    <row r="44" ht="12.75" customHeight="1">
      <c r="B44" s="215" t="s">
        <v>312</v>
      </c>
      <c r="C44" s="216">
        <f>C43*360/C6</f>
        <v>2.393127429</v>
      </c>
      <c r="D44" s="216">
        <f t="shared" ref="D44:E44" si="6">(D43*360)/D6</f>
        <v>0</v>
      </c>
      <c r="E44" s="217">
        <f t="shared" si="6"/>
        <v>0</v>
      </c>
    </row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2:E2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56.13"/>
    <col customWidth="1" min="3" max="3" width="10.38"/>
    <col customWidth="1" min="4" max="4" width="11.63"/>
    <col customWidth="1" min="5" max="5" width="11.5"/>
    <col customWidth="1" min="6" max="6" width="11.63"/>
    <col customWidth="1" min="7" max="7" width="10.38"/>
    <col customWidth="1" min="8" max="8" width="11.5"/>
    <col customWidth="1" min="9" max="14" width="10.38"/>
    <col customWidth="1" min="15" max="26" width="10.63"/>
  </cols>
  <sheetData>
    <row r="1" ht="12.75" customHeight="1"/>
    <row r="2" ht="12.75" customHeight="1"/>
    <row r="3" ht="12.75" customHeight="1"/>
    <row r="4" ht="12.75" customHeight="1">
      <c r="B4" s="92"/>
      <c r="C4" s="92"/>
      <c r="D4" s="92"/>
      <c r="E4" s="92"/>
      <c r="F4" s="92"/>
      <c r="G4" s="92"/>
      <c r="H4" s="92"/>
    </row>
    <row r="5" ht="12.75" customHeight="1">
      <c r="B5" s="218"/>
      <c r="C5" s="65" t="s">
        <v>313</v>
      </c>
      <c r="D5" s="65" t="s">
        <v>314</v>
      </c>
      <c r="E5" s="65" t="s">
        <v>315</v>
      </c>
      <c r="F5" s="65" t="s">
        <v>316</v>
      </c>
      <c r="G5" s="65" t="s">
        <v>317</v>
      </c>
      <c r="H5" s="65" t="s">
        <v>318</v>
      </c>
      <c r="I5" s="65" t="s">
        <v>319</v>
      </c>
      <c r="J5" s="65" t="s">
        <v>320</v>
      </c>
      <c r="K5" s="65" t="s">
        <v>321</v>
      </c>
      <c r="L5" s="65" t="s">
        <v>322</v>
      </c>
      <c r="M5" s="65" t="s">
        <v>323</v>
      </c>
      <c r="N5" s="65" t="s">
        <v>324</v>
      </c>
    </row>
    <row r="6" ht="12.75" customHeight="1">
      <c r="B6" s="21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ht="12.75" customHeight="1">
      <c r="B7" s="196" t="s">
        <v>325</v>
      </c>
      <c r="C7" s="197">
        <f>'plan de finan initi'!C37</f>
        <v>50461640</v>
      </c>
      <c r="D7" s="220">
        <f t="shared" ref="D7:N7" si="1">C56</f>
        <v>49705596.28</v>
      </c>
      <c r="E7" s="220">
        <f t="shared" si="1"/>
        <v>49508555.33</v>
      </c>
      <c r="F7" s="220">
        <f t="shared" si="1"/>
        <v>49547508.11</v>
      </c>
      <c r="G7" s="220">
        <f t="shared" si="1"/>
        <v>49822468.11</v>
      </c>
      <c r="H7" s="220">
        <f t="shared" si="1"/>
        <v>50097428.11</v>
      </c>
      <c r="I7" s="220">
        <f t="shared" si="1"/>
        <v>50372388.11</v>
      </c>
      <c r="J7" s="220">
        <f t="shared" si="1"/>
        <v>51355348.11</v>
      </c>
      <c r="K7" s="220">
        <f t="shared" si="1"/>
        <v>55524308.11</v>
      </c>
      <c r="L7" s="220">
        <f t="shared" si="1"/>
        <v>59703268.11</v>
      </c>
      <c r="M7" s="220">
        <f t="shared" si="1"/>
        <v>63882228.11</v>
      </c>
      <c r="N7" s="220">
        <f t="shared" si="1"/>
        <v>68061188.11</v>
      </c>
    </row>
    <row r="8" ht="12.75" customHeight="1">
      <c r="B8" s="221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02"/>
    </row>
    <row r="9" ht="12.75" customHeight="1">
      <c r="B9" s="59" t="s">
        <v>326</v>
      </c>
      <c r="C9" s="221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02"/>
    </row>
    <row r="10" ht="12.75" customHeight="1">
      <c r="B10" s="196" t="s">
        <v>327</v>
      </c>
      <c r="C10" s="196">
        <f t="shared" ref="C10:N10" si="2">C13</f>
        <v>295000</v>
      </c>
      <c r="D10" s="196">
        <f t="shared" si="2"/>
        <v>354000</v>
      </c>
      <c r="E10" s="196">
        <f t="shared" si="2"/>
        <v>590000</v>
      </c>
      <c r="F10" s="196">
        <f t="shared" si="2"/>
        <v>826000</v>
      </c>
      <c r="G10" s="196">
        <f t="shared" si="2"/>
        <v>826000</v>
      </c>
      <c r="H10" s="196">
        <f t="shared" si="2"/>
        <v>826000</v>
      </c>
      <c r="I10" s="196">
        <f t="shared" si="2"/>
        <v>1534000</v>
      </c>
      <c r="J10" s="196">
        <f t="shared" si="2"/>
        <v>4720000</v>
      </c>
      <c r="K10" s="196">
        <f t="shared" si="2"/>
        <v>4720000</v>
      </c>
      <c r="L10" s="196">
        <f t="shared" si="2"/>
        <v>4720000</v>
      </c>
      <c r="M10" s="196">
        <f t="shared" si="2"/>
        <v>4720000</v>
      </c>
      <c r="N10" s="196">
        <f t="shared" si="2"/>
        <v>7434000</v>
      </c>
    </row>
    <row r="11" ht="12.75" customHeight="1">
      <c r="B11" s="222" t="s">
        <v>328</v>
      </c>
      <c r="C11" s="140">
        <v>250000.0</v>
      </c>
      <c r="D11" s="140">
        <v>300000.0</v>
      </c>
      <c r="E11" s="140">
        <v>500000.0</v>
      </c>
      <c r="F11" s="140">
        <v>700000.0</v>
      </c>
      <c r="G11" s="140">
        <v>700000.0</v>
      </c>
      <c r="H11" s="140">
        <v>700000.0</v>
      </c>
      <c r="I11" s="140">
        <v>1300000.0</v>
      </c>
      <c r="J11" s="140">
        <v>4000000.0</v>
      </c>
      <c r="K11" s="140">
        <v>4000000.0</v>
      </c>
      <c r="L11" s="140">
        <v>4000000.0</v>
      </c>
      <c r="M11" s="140">
        <v>4000000.0</v>
      </c>
      <c r="N11" s="140">
        <v>6300000.0</v>
      </c>
    </row>
    <row r="12" ht="12.75" customHeight="1">
      <c r="B12" s="222" t="s">
        <v>329</v>
      </c>
      <c r="C12" s="59">
        <f t="shared" ref="C12:N12" si="3">C11*18%</f>
        <v>45000</v>
      </c>
      <c r="D12" s="59">
        <f t="shared" si="3"/>
        <v>54000</v>
      </c>
      <c r="E12" s="59">
        <f t="shared" si="3"/>
        <v>90000</v>
      </c>
      <c r="F12" s="59">
        <f t="shared" si="3"/>
        <v>126000</v>
      </c>
      <c r="G12" s="59">
        <f t="shared" si="3"/>
        <v>126000</v>
      </c>
      <c r="H12" s="59">
        <f t="shared" si="3"/>
        <v>126000</v>
      </c>
      <c r="I12" s="59">
        <f t="shared" si="3"/>
        <v>234000</v>
      </c>
      <c r="J12" s="59">
        <f t="shared" si="3"/>
        <v>720000</v>
      </c>
      <c r="K12" s="59">
        <f t="shared" si="3"/>
        <v>720000</v>
      </c>
      <c r="L12" s="59">
        <f t="shared" si="3"/>
        <v>720000</v>
      </c>
      <c r="M12" s="59">
        <f t="shared" si="3"/>
        <v>720000</v>
      </c>
      <c r="N12" s="59">
        <f t="shared" si="3"/>
        <v>1134000</v>
      </c>
    </row>
    <row r="13" ht="12.75" customHeight="1">
      <c r="B13" s="61" t="s">
        <v>330</v>
      </c>
      <c r="C13" s="61">
        <f t="shared" ref="C13:N13" si="4">SUM(C11:C12)</f>
        <v>295000</v>
      </c>
      <c r="D13" s="61">
        <f t="shared" si="4"/>
        <v>354000</v>
      </c>
      <c r="E13" s="61">
        <f t="shared" si="4"/>
        <v>590000</v>
      </c>
      <c r="F13" s="61">
        <f t="shared" si="4"/>
        <v>826000</v>
      </c>
      <c r="G13" s="61">
        <f t="shared" si="4"/>
        <v>826000</v>
      </c>
      <c r="H13" s="61">
        <f t="shared" si="4"/>
        <v>826000</v>
      </c>
      <c r="I13" s="61">
        <f t="shared" si="4"/>
        <v>1534000</v>
      </c>
      <c r="J13" s="61">
        <f t="shared" si="4"/>
        <v>4720000</v>
      </c>
      <c r="K13" s="61">
        <f t="shared" si="4"/>
        <v>4720000</v>
      </c>
      <c r="L13" s="61">
        <f t="shared" si="4"/>
        <v>4720000</v>
      </c>
      <c r="M13" s="61">
        <f t="shared" si="4"/>
        <v>4720000</v>
      </c>
      <c r="N13" s="61">
        <f t="shared" si="4"/>
        <v>7434000</v>
      </c>
    </row>
    <row r="14" ht="12.75" customHeight="1">
      <c r="B14" s="196" t="s">
        <v>331</v>
      </c>
      <c r="C14" s="196">
        <f t="shared" ref="C14:N14" si="5">C15+C16+C17</f>
        <v>0</v>
      </c>
      <c r="D14" s="196">
        <f t="shared" si="5"/>
        <v>0</v>
      </c>
      <c r="E14" s="196">
        <f t="shared" si="5"/>
        <v>0</v>
      </c>
      <c r="F14" s="196">
        <f t="shared" si="5"/>
        <v>0</v>
      </c>
      <c r="G14" s="196">
        <f t="shared" si="5"/>
        <v>0</v>
      </c>
      <c r="H14" s="196">
        <f t="shared" si="5"/>
        <v>0</v>
      </c>
      <c r="I14" s="196">
        <f t="shared" si="5"/>
        <v>0</v>
      </c>
      <c r="J14" s="196">
        <f t="shared" si="5"/>
        <v>0</v>
      </c>
      <c r="K14" s="196">
        <f t="shared" si="5"/>
        <v>0</v>
      </c>
      <c r="L14" s="196">
        <f t="shared" si="5"/>
        <v>0</v>
      </c>
      <c r="M14" s="196">
        <f t="shared" si="5"/>
        <v>0</v>
      </c>
      <c r="N14" s="196">
        <f t="shared" si="5"/>
        <v>0</v>
      </c>
    </row>
    <row r="15" ht="12.75" customHeight="1">
      <c r="B15" s="222" t="s">
        <v>332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</row>
    <row r="16" ht="12.75" customHeight="1">
      <c r="B16" s="222" t="s">
        <v>333</v>
      </c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</row>
    <row r="17" ht="12.75" customHeight="1">
      <c r="B17" s="222" t="s">
        <v>334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</row>
    <row r="18" ht="12.75" customHeight="1">
      <c r="B18" s="125" t="s">
        <v>335</v>
      </c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ht="12.75" customHeight="1">
      <c r="B19" s="223" t="s">
        <v>336</v>
      </c>
      <c r="C19" s="224">
        <f t="shared" ref="C19:N19" si="6">C10+C14</f>
        <v>295000</v>
      </c>
      <c r="D19" s="224">
        <f t="shared" si="6"/>
        <v>354000</v>
      </c>
      <c r="E19" s="224">
        <f t="shared" si="6"/>
        <v>590000</v>
      </c>
      <c r="F19" s="224">
        <f t="shared" si="6"/>
        <v>826000</v>
      </c>
      <c r="G19" s="224">
        <f t="shared" si="6"/>
        <v>826000</v>
      </c>
      <c r="H19" s="224">
        <f t="shared" si="6"/>
        <v>826000</v>
      </c>
      <c r="I19" s="224">
        <f t="shared" si="6"/>
        <v>1534000</v>
      </c>
      <c r="J19" s="224">
        <f t="shared" si="6"/>
        <v>4720000</v>
      </c>
      <c r="K19" s="224">
        <f t="shared" si="6"/>
        <v>4720000</v>
      </c>
      <c r="L19" s="224">
        <f t="shared" si="6"/>
        <v>4720000</v>
      </c>
      <c r="M19" s="224">
        <f t="shared" si="6"/>
        <v>4720000</v>
      </c>
      <c r="N19" s="224">
        <f t="shared" si="6"/>
        <v>7434000</v>
      </c>
      <c r="O19" s="225"/>
    </row>
    <row r="20" ht="12.75" customHeight="1">
      <c r="B20" s="78" t="s">
        <v>337</v>
      </c>
      <c r="C20" s="226"/>
      <c r="D20" s="227"/>
      <c r="E20" s="227"/>
      <c r="F20" s="227"/>
      <c r="G20" s="227"/>
      <c r="H20" s="227"/>
      <c r="I20" s="227"/>
      <c r="J20" s="227"/>
      <c r="K20" s="227"/>
      <c r="L20" s="227"/>
      <c r="M20" s="227"/>
      <c r="N20" s="228"/>
    </row>
    <row r="21" ht="12.75" customHeight="1">
      <c r="B21" s="196" t="s">
        <v>338</v>
      </c>
      <c r="C21" s="196">
        <f t="shared" ref="C21:N21" si="7">C22+C23+C37+C38+C39+C40+C41+C42+C43+C44+C45+C46+C47+C48+C49</f>
        <v>1051040</v>
      </c>
      <c r="D21" s="196">
        <f t="shared" si="7"/>
        <v>551040</v>
      </c>
      <c r="E21" s="196">
        <f t="shared" si="7"/>
        <v>551040</v>
      </c>
      <c r="F21" s="196">
        <f t="shared" si="7"/>
        <v>551040</v>
      </c>
      <c r="G21" s="196">
        <f t="shared" si="7"/>
        <v>551040</v>
      </c>
      <c r="H21" s="196">
        <f t="shared" si="7"/>
        <v>551040</v>
      </c>
      <c r="I21" s="196">
        <f t="shared" si="7"/>
        <v>551040</v>
      </c>
      <c r="J21" s="196">
        <f t="shared" si="7"/>
        <v>551040</v>
      </c>
      <c r="K21" s="196">
        <f t="shared" si="7"/>
        <v>541040</v>
      </c>
      <c r="L21" s="196">
        <f t="shared" si="7"/>
        <v>541040</v>
      </c>
      <c r="M21" s="196">
        <f t="shared" si="7"/>
        <v>541040</v>
      </c>
      <c r="N21" s="196">
        <f t="shared" si="7"/>
        <v>541040</v>
      </c>
    </row>
    <row r="22" ht="12.75" customHeight="1">
      <c r="B22" s="222" t="s">
        <v>339</v>
      </c>
      <c r="C22" s="59">
        <v>0.0</v>
      </c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</row>
    <row r="23" ht="12.75" customHeight="1">
      <c r="B23" s="222" t="s">
        <v>340</v>
      </c>
      <c r="C23" s="59">
        <v>0.0</v>
      </c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</row>
    <row r="24" ht="12.75" customHeight="1">
      <c r="B24" s="222" t="s">
        <v>341</v>
      </c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</row>
    <row r="25" ht="12.75" customHeight="1">
      <c r="B25" s="222" t="s">
        <v>342</v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</row>
    <row r="26" ht="12.75" customHeight="1">
      <c r="B26" s="222" t="s">
        <v>343</v>
      </c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</row>
    <row r="27" ht="12.75" customHeight="1">
      <c r="B27" s="222" t="s">
        <v>344</v>
      </c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</row>
    <row r="28" ht="12.75" customHeight="1">
      <c r="B28" s="222" t="s">
        <v>345</v>
      </c>
      <c r="C28" s="140">
        <v>2000.0</v>
      </c>
      <c r="D28" s="140">
        <v>2000.0</v>
      </c>
      <c r="E28" s="140">
        <v>2000.0</v>
      </c>
      <c r="F28" s="140">
        <v>2000.0</v>
      </c>
      <c r="G28" s="140">
        <v>2000.0</v>
      </c>
      <c r="H28" s="140">
        <v>2000.0</v>
      </c>
      <c r="I28" s="140">
        <v>2000.0</v>
      </c>
      <c r="J28" s="140">
        <v>2000.0</v>
      </c>
      <c r="K28" s="140">
        <v>2000.0</v>
      </c>
      <c r="L28" s="140">
        <v>2000.0</v>
      </c>
      <c r="M28" s="140">
        <v>2000.0</v>
      </c>
      <c r="N28" s="140">
        <v>2000.0</v>
      </c>
    </row>
    <row r="29" ht="12.75" customHeight="1">
      <c r="B29" s="222" t="s">
        <v>346</v>
      </c>
      <c r="C29" s="140">
        <v>20000.0</v>
      </c>
      <c r="D29" s="140">
        <v>20000.0</v>
      </c>
      <c r="E29" s="140">
        <v>20000.0</v>
      </c>
      <c r="F29" s="140">
        <v>20000.0</v>
      </c>
      <c r="G29" s="140">
        <v>20000.0</v>
      </c>
      <c r="H29" s="140">
        <v>20000.0</v>
      </c>
      <c r="I29" s="140">
        <v>20000.0</v>
      </c>
      <c r="J29" s="140">
        <v>20000.0</v>
      </c>
      <c r="K29" s="140">
        <v>20000.0</v>
      </c>
      <c r="L29" s="140">
        <v>20000.0</v>
      </c>
      <c r="M29" s="140">
        <v>20000.0</v>
      </c>
      <c r="N29" s="140">
        <v>20000.0</v>
      </c>
    </row>
    <row r="30" ht="12.75" customHeight="1">
      <c r="B30" s="222" t="s">
        <v>347</v>
      </c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</row>
    <row r="31" ht="12.75" customHeight="1">
      <c r="B31" s="222" t="s">
        <v>348</v>
      </c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</row>
    <row r="32" ht="12.75" customHeight="1">
      <c r="B32" s="222" t="s">
        <v>349</v>
      </c>
      <c r="C32" s="140">
        <v>50000.0</v>
      </c>
      <c r="D32" s="59"/>
      <c r="E32" s="59"/>
      <c r="F32" s="59"/>
      <c r="G32" s="59"/>
      <c r="H32" s="59"/>
      <c r="I32" s="59"/>
      <c r="J32" s="140">
        <v>50000.0</v>
      </c>
      <c r="K32" s="59"/>
      <c r="L32" s="59"/>
      <c r="M32" s="59"/>
      <c r="N32" s="59"/>
    </row>
    <row r="33" ht="12.75" customHeight="1">
      <c r="B33" s="222" t="s">
        <v>350</v>
      </c>
      <c r="C33" s="140">
        <v>100000.0</v>
      </c>
      <c r="D33" s="59"/>
      <c r="E33" s="59"/>
      <c r="F33" s="59"/>
      <c r="G33" s="59"/>
      <c r="H33" s="140">
        <v>100000.0</v>
      </c>
      <c r="I33" s="59"/>
      <c r="J33" s="59"/>
      <c r="K33" s="59"/>
      <c r="L33" s="59"/>
      <c r="M33" s="59"/>
      <c r="N33" s="59"/>
    </row>
    <row r="34" ht="12.75" customHeight="1">
      <c r="B34" s="222" t="s">
        <v>351</v>
      </c>
      <c r="C34" s="140">
        <v>60000.0</v>
      </c>
      <c r="D34" s="140">
        <v>60000.0</v>
      </c>
      <c r="E34" s="140">
        <v>60000.0</v>
      </c>
      <c r="F34" s="140">
        <v>60000.0</v>
      </c>
      <c r="G34" s="140">
        <v>60000.0</v>
      </c>
      <c r="H34" s="140">
        <v>60000.0</v>
      </c>
      <c r="I34" s="140">
        <v>60000.0</v>
      </c>
      <c r="J34" s="140">
        <v>60000.0</v>
      </c>
      <c r="K34" s="140">
        <v>60000.0</v>
      </c>
      <c r="L34" s="140">
        <v>60000.0</v>
      </c>
      <c r="M34" s="140">
        <v>60000.0</v>
      </c>
      <c r="N34" s="140">
        <v>60000.0</v>
      </c>
    </row>
    <row r="35" ht="12.75" customHeight="1">
      <c r="B35" s="222" t="s">
        <v>352</v>
      </c>
      <c r="C35" s="82">
        <f>'Charges dexploitation'!D19</f>
        <v>50000</v>
      </c>
      <c r="D35" s="82">
        <f>C35</f>
        <v>50000</v>
      </c>
      <c r="E35" s="82">
        <f>C35</f>
        <v>50000</v>
      </c>
      <c r="F35" s="82">
        <f t="shared" ref="F35:G35" si="8">E35</f>
        <v>50000</v>
      </c>
      <c r="G35" s="82">
        <f t="shared" si="8"/>
        <v>50000</v>
      </c>
      <c r="H35" s="82">
        <f>F35</f>
        <v>50000</v>
      </c>
      <c r="I35" s="82">
        <f>H35</f>
        <v>50000</v>
      </c>
      <c r="J35" s="82">
        <f t="shared" ref="J35:K35" si="9">H35</f>
        <v>50000</v>
      </c>
      <c r="K35" s="82">
        <f t="shared" si="9"/>
        <v>50000</v>
      </c>
      <c r="L35" s="82">
        <f>K35</f>
        <v>50000</v>
      </c>
      <c r="M35" s="82">
        <f t="shared" ref="M35:N35" si="10">K35</f>
        <v>50000</v>
      </c>
      <c r="N35" s="82">
        <f t="shared" si="10"/>
        <v>50000</v>
      </c>
    </row>
    <row r="36" ht="12.75" customHeight="1">
      <c r="B36" s="222" t="s">
        <v>353</v>
      </c>
      <c r="C36" s="140">
        <v>150000.0</v>
      </c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</row>
    <row r="37" ht="12.75" customHeight="1">
      <c r="B37" s="222" t="s">
        <v>354</v>
      </c>
      <c r="C37" s="140">
        <v>150000.0</v>
      </c>
      <c r="D37" s="140">
        <v>150000.0</v>
      </c>
      <c r="E37" s="140">
        <v>150000.0</v>
      </c>
      <c r="F37" s="140">
        <v>150000.0</v>
      </c>
      <c r="G37" s="140">
        <v>150000.0</v>
      </c>
      <c r="H37" s="140">
        <v>150000.0</v>
      </c>
      <c r="I37" s="140">
        <v>150000.0</v>
      </c>
      <c r="J37" s="140">
        <v>150000.0</v>
      </c>
      <c r="K37" s="140">
        <v>150000.0</v>
      </c>
      <c r="L37" s="140">
        <v>150000.0</v>
      </c>
      <c r="M37" s="140">
        <v>150000.0</v>
      </c>
      <c r="N37" s="140">
        <v>150000.0</v>
      </c>
    </row>
    <row r="38" ht="12.75" customHeight="1">
      <c r="B38" s="222" t="s">
        <v>355</v>
      </c>
      <c r="C38" s="140">
        <v>300000.0</v>
      </c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</row>
    <row r="39" ht="12.75" customHeight="1">
      <c r="B39" s="222" t="s">
        <v>356</v>
      </c>
      <c r="C39" s="140">
        <v>10000.0</v>
      </c>
      <c r="D39" s="140">
        <v>10000.0</v>
      </c>
      <c r="E39" s="140">
        <v>10000.0</v>
      </c>
      <c r="F39" s="140">
        <v>10000.0</v>
      </c>
      <c r="G39" s="140">
        <v>10000.0</v>
      </c>
      <c r="H39" s="140">
        <v>10000.0</v>
      </c>
      <c r="I39" s="140">
        <v>10000.0</v>
      </c>
      <c r="J39" s="140">
        <v>10000.0</v>
      </c>
      <c r="K39" s="59"/>
      <c r="L39" s="59"/>
      <c r="M39" s="59"/>
      <c r="N39" s="59"/>
    </row>
    <row r="40" ht="12.75" customHeight="1">
      <c r="B40" s="222" t="s">
        <v>357</v>
      </c>
      <c r="C40" s="140">
        <v>15000.0</v>
      </c>
      <c r="D40" s="140">
        <v>15000.0</v>
      </c>
      <c r="E40" s="140">
        <v>15000.0</v>
      </c>
      <c r="F40" s="140">
        <v>15000.0</v>
      </c>
      <c r="G40" s="140">
        <v>15000.0</v>
      </c>
      <c r="H40" s="140">
        <v>15000.0</v>
      </c>
      <c r="I40" s="140">
        <v>15000.0</v>
      </c>
      <c r="J40" s="140">
        <v>15000.0</v>
      </c>
      <c r="K40" s="140">
        <v>15000.0</v>
      </c>
      <c r="L40" s="140">
        <v>15000.0</v>
      </c>
      <c r="M40" s="140">
        <v>15000.0</v>
      </c>
      <c r="N40" s="140">
        <v>15000.0</v>
      </c>
    </row>
    <row r="41" ht="12.75" customHeight="1">
      <c r="B41" s="222" t="s">
        <v>358</v>
      </c>
      <c r="C41" s="59">
        <v>0.0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</row>
    <row r="42" ht="12.75" customHeight="1">
      <c r="B42" s="222" t="s">
        <v>359</v>
      </c>
      <c r="C42" s="140">
        <v>200000.0</v>
      </c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</row>
    <row r="43" ht="12.75" customHeight="1">
      <c r="B43" s="222" t="s">
        <v>360</v>
      </c>
      <c r="C43" s="59">
        <v>0.0</v>
      </c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</row>
    <row r="44" ht="12.75" customHeight="1">
      <c r="B44" s="222" t="s">
        <v>361</v>
      </c>
      <c r="C44" s="140">
        <v>340000.0</v>
      </c>
      <c r="D44" s="140">
        <v>340000.0</v>
      </c>
      <c r="E44" s="140">
        <v>340000.0</v>
      </c>
      <c r="F44" s="140">
        <v>340000.0</v>
      </c>
      <c r="G44" s="140">
        <v>340000.0</v>
      </c>
      <c r="H44" s="140">
        <v>340000.0</v>
      </c>
      <c r="I44" s="140">
        <v>340000.0</v>
      </c>
      <c r="J44" s="140">
        <v>340000.0</v>
      </c>
      <c r="K44" s="140">
        <v>340000.0</v>
      </c>
      <c r="L44" s="140">
        <v>340000.0</v>
      </c>
      <c r="M44" s="140">
        <v>340000.0</v>
      </c>
      <c r="N44" s="140">
        <v>340000.0</v>
      </c>
    </row>
    <row r="45" ht="12.75" customHeight="1">
      <c r="B45" s="222" t="s">
        <v>362</v>
      </c>
      <c r="C45" s="140">
        <v>36040.0</v>
      </c>
      <c r="D45" s="140">
        <v>36040.0</v>
      </c>
      <c r="E45" s="140">
        <v>36040.0</v>
      </c>
      <c r="F45" s="140">
        <v>36040.0</v>
      </c>
      <c r="G45" s="140">
        <v>36040.0</v>
      </c>
      <c r="H45" s="140">
        <v>36040.0</v>
      </c>
      <c r="I45" s="140">
        <v>36040.0</v>
      </c>
      <c r="J45" s="140">
        <v>36040.0</v>
      </c>
      <c r="K45" s="140">
        <v>36040.0</v>
      </c>
      <c r="L45" s="140">
        <v>36040.0</v>
      </c>
      <c r="M45" s="140">
        <v>36040.0</v>
      </c>
      <c r="N45" s="140">
        <v>36040.0</v>
      </c>
    </row>
    <row r="46" ht="12.75" customHeight="1">
      <c r="B46" s="222" t="s">
        <v>363</v>
      </c>
      <c r="C46" s="59">
        <v>0.0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</row>
    <row r="47" ht="12.75" customHeight="1">
      <c r="B47" s="222" t="s">
        <v>364</v>
      </c>
      <c r="C47" s="59">
        <v>0.0</v>
      </c>
      <c r="D47" s="59">
        <v>0.0</v>
      </c>
      <c r="E47" s="59"/>
      <c r="F47" s="59">
        <v>0.0</v>
      </c>
      <c r="G47" s="59"/>
      <c r="H47" s="59">
        <v>0.0</v>
      </c>
      <c r="I47" s="59"/>
      <c r="J47" s="59"/>
      <c r="K47" s="59"/>
      <c r="L47" s="59"/>
      <c r="M47" s="59"/>
      <c r="N47" s="59"/>
    </row>
    <row r="48" ht="12.75" customHeight="1">
      <c r="B48" s="222" t="s">
        <v>365</v>
      </c>
      <c r="C48" s="59">
        <v>0.0</v>
      </c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</row>
    <row r="49" ht="12.75" customHeight="1">
      <c r="B49" s="222" t="s">
        <v>366</v>
      </c>
      <c r="C49" s="59">
        <v>0.0</v>
      </c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</row>
    <row r="50" ht="12.75" customHeight="1">
      <c r="B50" s="59" t="s">
        <v>367</v>
      </c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</row>
    <row r="51" ht="12.75" customHeight="1">
      <c r="B51" s="196" t="s">
        <v>368</v>
      </c>
      <c r="C51" s="197">
        <f t="shared" ref="C51:N51" si="11">C52+C53</f>
        <v>3.722222222</v>
      </c>
      <c r="D51" s="197">
        <f t="shared" si="11"/>
        <v>0.9444444444</v>
      </c>
      <c r="E51" s="197">
        <f t="shared" si="11"/>
        <v>7.222222222</v>
      </c>
      <c r="F51" s="197">
        <f t="shared" si="11"/>
        <v>0</v>
      </c>
      <c r="G51" s="197">
        <f t="shared" si="11"/>
        <v>0</v>
      </c>
      <c r="H51" s="197">
        <f t="shared" si="11"/>
        <v>0</v>
      </c>
      <c r="I51" s="197">
        <f t="shared" si="11"/>
        <v>0</v>
      </c>
      <c r="J51" s="197">
        <f t="shared" si="11"/>
        <v>0</v>
      </c>
      <c r="K51" s="197">
        <f t="shared" si="11"/>
        <v>0</v>
      </c>
      <c r="L51" s="197">
        <f t="shared" si="11"/>
        <v>0</v>
      </c>
      <c r="M51" s="197">
        <f t="shared" si="11"/>
        <v>0</v>
      </c>
      <c r="N51" s="197">
        <f t="shared" si="11"/>
        <v>0</v>
      </c>
    </row>
    <row r="52" ht="12.75" customHeight="1">
      <c r="B52" s="222" t="s">
        <v>369</v>
      </c>
      <c r="C52" s="59">
        <v>0.0</v>
      </c>
      <c r="D52" s="59">
        <v>0.0</v>
      </c>
      <c r="E52" s="59">
        <v>0.0</v>
      </c>
      <c r="F52" s="59">
        <v>0.0</v>
      </c>
      <c r="G52" s="59">
        <v>0.0</v>
      </c>
      <c r="H52" s="59">
        <v>0.0</v>
      </c>
      <c r="I52" s="59">
        <v>0.0</v>
      </c>
      <c r="J52" s="59">
        <v>0.0</v>
      </c>
      <c r="K52" s="59">
        <v>0.0</v>
      </c>
      <c r="L52" s="59">
        <v>0.0</v>
      </c>
      <c r="M52" s="59">
        <v>0.0</v>
      </c>
      <c r="N52" s="59">
        <v>0.0</v>
      </c>
    </row>
    <row r="53" ht="12.75" customHeight="1">
      <c r="B53" s="222" t="s">
        <v>370</v>
      </c>
      <c r="C53" s="60">
        <f>emprunt!F11</f>
        <v>3.722222222</v>
      </c>
      <c r="D53" s="60">
        <f>emprunt!F12</f>
        <v>0.9444444444</v>
      </c>
      <c r="E53" s="60">
        <f>emprunt!F13</f>
        <v>7.222222222</v>
      </c>
      <c r="F53" s="60" t="str">
        <f>emprunt!F14</f>
        <v/>
      </c>
      <c r="G53" s="60" t="str">
        <f>emprunt!F15</f>
        <v/>
      </c>
      <c r="H53" s="60" t="str">
        <f>emprunt!F16</f>
        <v/>
      </c>
      <c r="I53" s="60" t="str">
        <f>emprunt!F17</f>
        <v/>
      </c>
      <c r="J53" s="60" t="str">
        <f>emprunt!F18</f>
        <v/>
      </c>
      <c r="K53" s="60" t="str">
        <f>emprunt!F19</f>
        <v/>
      </c>
      <c r="L53" s="60" t="str">
        <f>emprunt!F20</f>
        <v/>
      </c>
      <c r="M53" s="60" t="str">
        <f>emprunt!F21</f>
        <v/>
      </c>
      <c r="N53" s="60" t="str">
        <f>emprunt!F22</f>
        <v/>
      </c>
    </row>
    <row r="54" ht="12.75" customHeight="1">
      <c r="B54" s="223" t="s">
        <v>371</v>
      </c>
      <c r="C54" s="229">
        <f t="shared" ref="C54:N54" si="12">C21+C51</f>
        <v>1051043.722</v>
      </c>
      <c r="D54" s="229">
        <f t="shared" si="12"/>
        <v>551040.9444</v>
      </c>
      <c r="E54" s="229">
        <f t="shared" si="12"/>
        <v>551047.2222</v>
      </c>
      <c r="F54" s="229">
        <f t="shared" si="12"/>
        <v>551040</v>
      </c>
      <c r="G54" s="229">
        <f t="shared" si="12"/>
        <v>551040</v>
      </c>
      <c r="H54" s="229">
        <f t="shared" si="12"/>
        <v>551040</v>
      </c>
      <c r="I54" s="229">
        <f t="shared" si="12"/>
        <v>551040</v>
      </c>
      <c r="J54" s="229">
        <f t="shared" si="12"/>
        <v>551040</v>
      </c>
      <c r="K54" s="229">
        <f t="shared" si="12"/>
        <v>541040</v>
      </c>
      <c r="L54" s="229">
        <f t="shared" si="12"/>
        <v>541040</v>
      </c>
      <c r="M54" s="229">
        <f t="shared" si="12"/>
        <v>541040</v>
      </c>
      <c r="N54" s="229">
        <f t="shared" si="12"/>
        <v>541040</v>
      </c>
    </row>
    <row r="55" ht="12.75" customHeight="1">
      <c r="B55" s="59" t="s">
        <v>372</v>
      </c>
      <c r="C55" s="106">
        <f t="shared" ref="C55:N55" si="13">C19-C54</f>
        <v>-756043.7222</v>
      </c>
      <c r="D55" s="106">
        <f t="shared" si="13"/>
        <v>-197040.9444</v>
      </c>
      <c r="E55" s="106">
        <f t="shared" si="13"/>
        <v>38952.77778</v>
      </c>
      <c r="F55" s="106">
        <f t="shared" si="13"/>
        <v>274960</v>
      </c>
      <c r="G55" s="106">
        <f t="shared" si="13"/>
        <v>274960</v>
      </c>
      <c r="H55" s="106">
        <f t="shared" si="13"/>
        <v>274960</v>
      </c>
      <c r="I55" s="106">
        <f t="shared" si="13"/>
        <v>982960</v>
      </c>
      <c r="J55" s="106">
        <f t="shared" si="13"/>
        <v>4168960</v>
      </c>
      <c r="K55" s="106">
        <f t="shared" si="13"/>
        <v>4178960</v>
      </c>
      <c r="L55" s="106">
        <f t="shared" si="13"/>
        <v>4178960</v>
      </c>
      <c r="M55" s="106">
        <f t="shared" si="13"/>
        <v>4178960</v>
      </c>
      <c r="N55" s="106">
        <f t="shared" si="13"/>
        <v>6892960</v>
      </c>
    </row>
    <row r="56" ht="12.75" customHeight="1">
      <c r="B56" s="59" t="s">
        <v>373</v>
      </c>
      <c r="C56" s="106">
        <f t="shared" ref="C56:N56" si="14">C7+C55</f>
        <v>49705596.28</v>
      </c>
      <c r="D56" s="106">
        <f t="shared" si="14"/>
        <v>49508555.33</v>
      </c>
      <c r="E56" s="106">
        <f t="shared" si="14"/>
        <v>49547508.11</v>
      </c>
      <c r="F56" s="106">
        <f t="shared" si="14"/>
        <v>49822468.11</v>
      </c>
      <c r="G56" s="106">
        <f t="shared" si="14"/>
        <v>50097428.11</v>
      </c>
      <c r="H56" s="106">
        <f t="shared" si="14"/>
        <v>50372388.11</v>
      </c>
      <c r="I56" s="106">
        <f t="shared" si="14"/>
        <v>51355348.11</v>
      </c>
      <c r="J56" s="106">
        <f t="shared" si="14"/>
        <v>55524308.11</v>
      </c>
      <c r="K56" s="106">
        <f t="shared" si="14"/>
        <v>59703268.11</v>
      </c>
      <c r="L56" s="106">
        <f t="shared" si="14"/>
        <v>63882228.11</v>
      </c>
      <c r="M56" s="106">
        <f t="shared" si="14"/>
        <v>68061188.11</v>
      </c>
      <c r="N56" s="106">
        <f t="shared" si="14"/>
        <v>74954148.11</v>
      </c>
    </row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B5:B6"/>
    <mergeCell ref="B8:N8"/>
    <mergeCell ref="C9:N9"/>
    <mergeCell ref="C20:N20"/>
  </mergeCells>
  <printOptions/>
  <pageMargins bottom="0.984251969" footer="0.0" header="0.0" left="0.787401575" right="0.787401575" top="0.984251969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4.5"/>
    <col customWidth="1" min="3" max="3" width="11.63"/>
    <col customWidth="1" min="4" max="6" width="12.63"/>
    <col customWidth="1" min="7" max="26" width="10.63"/>
  </cols>
  <sheetData>
    <row r="1" ht="12.75" customHeight="1"/>
    <row r="2" ht="12.75" customHeight="1">
      <c r="B2" s="111" t="s">
        <v>374</v>
      </c>
      <c r="C2" s="112"/>
      <c r="D2" s="112"/>
      <c r="E2" s="112"/>
      <c r="F2" s="113"/>
    </row>
    <row r="3" ht="12.75" customHeight="1">
      <c r="B3" s="115"/>
      <c r="C3" s="115"/>
      <c r="D3" s="115"/>
      <c r="E3" s="115"/>
      <c r="F3" s="115"/>
    </row>
    <row r="4" ht="12.75" customHeight="1">
      <c r="B4" s="115" t="s">
        <v>375</v>
      </c>
      <c r="C4" s="115" t="s">
        <v>376</v>
      </c>
      <c r="D4" s="115" t="s">
        <v>377</v>
      </c>
      <c r="E4" s="115" t="s">
        <v>378</v>
      </c>
      <c r="F4" s="115" t="s">
        <v>379</v>
      </c>
    </row>
    <row r="5" ht="12.75" customHeight="1">
      <c r="B5" s="115" t="s">
        <v>380</v>
      </c>
      <c r="C5" s="115"/>
      <c r="D5" s="118">
        <v>1.0</v>
      </c>
      <c r="E5" s="118">
        <v>1.0</v>
      </c>
      <c r="F5" s="118">
        <v>1.0</v>
      </c>
    </row>
    <row r="6" ht="12.75" customHeight="1">
      <c r="B6" s="115"/>
      <c r="C6" s="115"/>
      <c r="D6" s="115"/>
      <c r="E6" s="115"/>
      <c r="F6" s="115"/>
    </row>
    <row r="7" ht="12.75" customHeight="1">
      <c r="B7" s="115" t="s">
        <v>381</v>
      </c>
      <c r="C7" s="115"/>
      <c r="D7" s="115"/>
      <c r="E7" s="115"/>
      <c r="F7" s="115"/>
    </row>
    <row r="8" ht="12.75" customHeight="1">
      <c r="B8" s="115" t="s">
        <v>382</v>
      </c>
      <c r="C8" s="230">
        <v>0.0</v>
      </c>
      <c r="D8" s="119">
        <f>'Rentabilité 1'!C5</f>
        <v>41251068</v>
      </c>
      <c r="E8" s="119">
        <f>'Rentabilité 1'!D5</f>
        <v>43187868</v>
      </c>
      <c r="F8" s="119">
        <f>'Rentabilité 1'!E5</f>
        <v>45187272</v>
      </c>
    </row>
    <row r="9" ht="12.75" customHeight="1">
      <c r="B9" s="115" t="s">
        <v>383</v>
      </c>
      <c r="C9" s="119">
        <f>'plan de finan initi'!C26</f>
        <v>55000000</v>
      </c>
      <c r="D9" s="231" t="str">
        <f>'plan de finan initi'!D23</f>
        <v/>
      </c>
      <c r="E9" s="231" t="str">
        <f>'plan de finan initi'!E23</f>
        <v/>
      </c>
      <c r="F9" s="231" t="str">
        <f>'plan de finan initi'!F23</f>
        <v/>
      </c>
    </row>
    <row r="10" ht="12.75" customHeight="1">
      <c r="B10" s="115" t="s">
        <v>384</v>
      </c>
      <c r="C10" s="119" t="str">
        <f>'plan de finan initi'!C32</f>
        <v/>
      </c>
      <c r="D10" s="115"/>
      <c r="E10" s="115"/>
      <c r="F10" s="115"/>
    </row>
    <row r="11" ht="12.75" customHeight="1">
      <c r="B11" s="115" t="s">
        <v>385</v>
      </c>
      <c r="C11" s="119"/>
      <c r="D11" s="115"/>
      <c r="E11" s="115"/>
      <c r="F11" s="115"/>
    </row>
    <row r="12" ht="12.75" customHeight="1">
      <c r="B12" s="115" t="s">
        <v>386</v>
      </c>
      <c r="C12" s="119"/>
      <c r="D12" s="115"/>
      <c r="E12" s="121"/>
      <c r="F12" s="115"/>
    </row>
    <row r="13" ht="12.75" customHeight="1">
      <c r="B13" s="115" t="s">
        <v>387</v>
      </c>
      <c r="C13" s="119">
        <f t="shared" ref="C13:F13" si="1">SUM(C8:C12)</f>
        <v>55000000</v>
      </c>
      <c r="D13" s="119">
        <f t="shared" si="1"/>
        <v>41251068</v>
      </c>
      <c r="E13" s="119">
        <f t="shared" si="1"/>
        <v>43187868</v>
      </c>
      <c r="F13" s="119">
        <f t="shared" si="1"/>
        <v>45187272</v>
      </c>
    </row>
    <row r="14" ht="12.75" customHeight="1">
      <c r="B14" s="115"/>
      <c r="C14" s="115"/>
      <c r="D14" s="115"/>
      <c r="E14" s="115"/>
      <c r="F14" s="115"/>
    </row>
    <row r="15" ht="12.75" customHeight="1">
      <c r="B15" s="115" t="s">
        <v>388</v>
      </c>
      <c r="C15" s="115"/>
      <c r="D15" s="115"/>
      <c r="E15" s="115"/>
      <c r="F15" s="115"/>
    </row>
    <row r="16" ht="12.75" customHeight="1">
      <c r="B16" s="115" t="s">
        <v>389</v>
      </c>
      <c r="C16" s="118">
        <f>'plan de finan initi'!C7+'plan de finan initi'!C9+'plan de finan initi'!C11+'plan de finan initi'!C13+'plan de finan initi'!C15+'plan de finan initi'!C17</f>
        <v>4238360</v>
      </c>
      <c r="D16" s="115">
        <v>0.0</v>
      </c>
      <c r="E16" s="115">
        <v>0.0</v>
      </c>
      <c r="F16" s="115">
        <v>0.0</v>
      </c>
    </row>
    <row r="17" ht="12.75" customHeight="1">
      <c r="B17" s="115" t="s">
        <v>390</v>
      </c>
      <c r="C17" s="115"/>
      <c r="D17" s="118">
        <f>SUM(emprunt!F11:F22)</f>
        <v>11.88888889</v>
      </c>
      <c r="E17" s="118">
        <f>SUM(emprunt!F23:F34)</f>
        <v>0</v>
      </c>
      <c r="F17" s="118">
        <f>SUM(emprunt!F35:F46)</f>
        <v>0</v>
      </c>
    </row>
    <row r="18" ht="12.75" customHeight="1">
      <c r="B18" s="115" t="s">
        <v>391</v>
      </c>
      <c r="C18" s="118">
        <f>'Dotation en FR'!C37</f>
        <v>41407940</v>
      </c>
      <c r="D18" s="118">
        <v>0.0</v>
      </c>
      <c r="E18" s="118">
        <v>0.0</v>
      </c>
      <c r="F18" s="118"/>
    </row>
    <row r="19" ht="12.75" customHeight="1">
      <c r="B19" s="115" t="s">
        <v>392</v>
      </c>
      <c r="C19" s="115"/>
      <c r="D19" s="118">
        <f>'compte dexploit'!C54</f>
        <v>9942934.5</v>
      </c>
      <c r="E19" s="118">
        <f>'compte dexploit'!D54</f>
        <v>10427134.5</v>
      </c>
      <c r="F19" s="118">
        <f>'compte dexploit'!E54</f>
        <v>10926985.5</v>
      </c>
    </row>
    <row r="20" ht="12.75" customHeight="1">
      <c r="B20" s="115" t="s">
        <v>393</v>
      </c>
      <c r="C20" s="119">
        <f t="shared" ref="C20:F20" si="2">SUM(C16:C19)</f>
        <v>45646300</v>
      </c>
      <c r="D20" s="118">
        <f t="shared" si="2"/>
        <v>9942946.389</v>
      </c>
      <c r="E20" s="118">
        <f t="shared" si="2"/>
        <v>10427134.5</v>
      </c>
      <c r="F20" s="118">
        <f t="shared" si="2"/>
        <v>10926985.5</v>
      </c>
    </row>
    <row r="21" ht="12.75" customHeight="1">
      <c r="B21" s="115"/>
      <c r="C21" s="115"/>
      <c r="D21" s="118"/>
      <c r="E21" s="118"/>
      <c r="F21" s="118"/>
    </row>
    <row r="22" ht="12.75" customHeight="1">
      <c r="B22" s="115" t="s">
        <v>394</v>
      </c>
      <c r="C22" s="119">
        <f t="shared" ref="C22:F22" si="3">C13-C20</f>
        <v>9353700</v>
      </c>
      <c r="D22" s="119">
        <f t="shared" si="3"/>
        <v>31308121.61</v>
      </c>
      <c r="E22" s="119">
        <f t="shared" si="3"/>
        <v>32760733.5</v>
      </c>
      <c r="F22" s="119">
        <f t="shared" si="3"/>
        <v>34260286.5</v>
      </c>
    </row>
    <row r="23" ht="12.75" customHeight="1">
      <c r="B23" s="115" t="s">
        <v>395</v>
      </c>
      <c r="C23" s="119">
        <f>0</f>
        <v>0</v>
      </c>
      <c r="D23" s="118">
        <f t="shared" ref="D23:F23" si="4">C24</f>
        <v>9353700</v>
      </c>
      <c r="E23" s="118">
        <f t="shared" si="4"/>
        <v>40661821.61</v>
      </c>
      <c r="F23" s="118">
        <f t="shared" si="4"/>
        <v>73422555.11</v>
      </c>
    </row>
    <row r="24" ht="12.75" customHeight="1">
      <c r="B24" s="115" t="s">
        <v>396</v>
      </c>
      <c r="C24" s="119">
        <f>C22+C23</f>
        <v>9353700</v>
      </c>
      <c r="D24" s="118">
        <f t="shared" ref="D24:F24" si="5">SUM(D22:D23)</f>
        <v>40661821.61</v>
      </c>
      <c r="E24" s="118">
        <f t="shared" si="5"/>
        <v>73422555.11</v>
      </c>
      <c r="F24" s="118">
        <f t="shared" si="5"/>
        <v>107682841.6</v>
      </c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B2:F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2005-12-16T09:26:09Z</dcterms:created>
  <dc:creator>DIEME</dc:creator>
</cp:coreProperties>
</file>